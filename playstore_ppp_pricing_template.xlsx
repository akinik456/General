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f6f4ba6be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8ac1c342674ab5"/>
    <x:sheet xmlns:r="http://schemas.openxmlformats.org/officeDocument/2006/relationships" name="PricingModel" sheetId="2" r:id="R8d20828efa0e444d"/>
    <x:sheet xmlns:r="http://schemas.openxmlformats.org/officeDocument/2006/relationships" name="RoundingRules" sheetId="3" r:id="R237115ceef2d4c56"/>
    <x:sheet xmlns:r="http://schemas.openxmlformats.org/officeDocument/2006/relationships" name="SourceNotes" sheetId="4" r:id="Re9b1f42017c5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6">
    <x:font>
      <x:sz val="11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b/>
      <x:sz val="11"/>
      <x:color rgb="0F172A"/>
      <x:name val="Carlito"/>
    </x:font>
    <x:font>
      <x:b/>
      <x:sz val="16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293B"/>
      </x:patternFill>
    </x:fill>
    <x:fill>
      <x:patternFill patternType="solid">
        <x:fgColor rgb="FEF3C7"/>
      </x:patternFill>
    </x:fill>
    <x:fill>
      <x:patternFill patternType="solid">
        <x:fgColor rgb="CCFBF1"/>
      </x:patternFill>
    </x:fill>
    <x:fill>
      <x:patternFill patternType="solid">
        <x:fgColor rgb="0F766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4b29682704d35" /><Relationship Type="http://schemas.openxmlformats.org/officeDocument/2006/relationships/theme" Target="/xl/theme/theme1.xml" Id="Ra43857364a544dcb" /><Relationship Type="http://schemas.openxmlformats.org/officeDocument/2006/relationships/sharedStrings" Target="/xl/sharedStrings.xml" Id="R18ce5cfaeff84242" /><Relationship Type="http://schemas.openxmlformats.org/officeDocument/2006/relationships/worksheet" Target="/xl/worksheets/sheet1.xml" Id="R078ac1c342674ab5" /><Relationship Type="http://schemas.openxmlformats.org/officeDocument/2006/relationships/worksheet" Target="/xl/worksheets/sheet2.xml" Id="R8d20828efa0e444d" /><Relationship Type="http://schemas.openxmlformats.org/officeDocument/2006/relationships/worksheet" Target="/xl/worksheets/sheet3.xml" Id="R237115ceef2d4c56" /><Relationship Type="http://schemas.openxmlformats.org/officeDocument/2006/relationships/worksheet" Target="/xl/worksheets/sheet4.xml" Id="Re9b1f42017c54b32" /></Relationships>
</file>

<file path=xl/tables/table1.xml><?xml version="1.0" encoding="utf-8"?>
<x:table xmlns:x="http://schemas.openxmlformats.org/spreadsheetml/2006/main" id="1" name="PricingModelTable" displayName="PricingModelTable" ref="A1:O16" headerRowCount="1">
  <x:tableColumns count="15">
    <x:tableColumn id="1" name="Country"/>
    <x:tableColumn id="2" name="Currency"/>
    <x:tableColumn id="3" name="PPP Factor"/>
    <x:tableColumn id="4" name="Tier"/>
    <x:tableColumn id="5" name="Base USD"/>
    <x:tableColumn id="6" name="PPP Price USD"/>
    <x:tableColumn id="7" name="Market Adj"/>
    <x:tableColumn id="8" name="FX USD→Local"/>
    <x:tableColumn id="9" name="Raw Local Price"/>
    <x:tableColumn id="10" name="Rounding Group"/>
    <x:tableColumn id="11" name="Final Rounded Local"/>
    <x:tableColumn id="12" name="Final USD Approx"/>
    <x:tableColumn id="13" name="Recommended Action"/>
    <x:tableColumn id="14" name="FX Formula for Google Sheets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oundingRulesTable" displayName="RoundingRulesTable" ref="A3:E12" headerRowCount="1">
  <x:tableColumns count="5">
    <x:tableColumn id="1" name="Group"/>
    <x:tableColumn id="2" name="Currency"/>
    <x:tableColumn id="3" name="Logic"/>
    <x:tableColumn id="4" name="Suggested Tiers"/>
    <x:tableColumn id="5" name="Edit Note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Table" displayName="SourceNotesTable" ref="A3:E7" headerRowCount="1">
  <x:tableColumns count="5">
    <x:tableColumn id="1" name="Input"/>
    <x:tableColumn id="2" name="Purpose"/>
    <x:tableColumn id="3" name="Source / URL"/>
    <x:tableColumn id="4" name="Refresh Cadence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f200b6eb1c4c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e5f10d65de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bb5046830e4d1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5" t="str">
        <x:v>Play Store PPP Pricing Template</x:v>
      </x:c>
    </x:row>
    <x:row r="3">
      <x:c r="A3" s="11" t="str">
        <x:v>Base Price USD</x:v>
      </x:c>
      <x:c r="B3" s="18" t="n">
        <x:v>2.99</x:v>
      </x:c>
    </x:row>
    <x:row r="4">
      <x:c r="A4" s="11" t="str">
        <x:v>Global Min USD</x:v>
      </x:c>
      <x:c r="B4" s="18" t="n">
        <x:v>0.49</x:v>
      </x:c>
    </x:row>
    <x:row r="5">
      <x:c r="A5" s="11" t="str">
        <x:v>High PPP Floor USD</x:v>
      </x:c>
      <x:c r="B5" s="18" t="n">
        <x:v>1.99</x:v>
      </x:c>
    </x:row>
    <x:row r="6">
      <x:c r="A6" s="11" t="str">
        <x:v>Default Market Adj</x:v>
      </x:c>
      <x:c r="B6" s="15" t="n">
        <x:v>1</x:v>
      </x:c>
    </x:row>
    <x:row r="7">
      <x:c r="A7" s="11" t="str">
        <x:v>Default FX Source</x:v>
      </x:c>
      <x:c r="B7" s="15" t="str">
        <x:v>Manual / Google Sheets formula</x:v>
      </x:c>
    </x:row>
    <x:row r="8">
      <x:c r="A8" s="11" t="str">
        <x:v>Last Updated</x:v>
      </x:c>
      <x:c r="B8" s="15" t="str">
        <x:v>2026-05-01</x:v>
      </x:c>
    </x:row>
    <x:row r="9">
      <x:c r="A9" s="11" t="str">
        <x:v>Notes</x:v>
      </x:c>
      <x:c r="B9" s="15" t="str">
        <x:v>Edit yellow cells only. Final price uses PPP + Market Adj + FX + rounding rules.</x:v>
      </x:c>
    </x:row>
    <x:row r="10">
      <x:c r="A10" s="11" t="str">
        <x:v>Output Sheet</x:v>
      </x:c>
      <x:c r="B10" s="15" t="str">
        <x:v>PricingModel</x:v>
      </x:c>
    </x:row>
    <x:row r="12">
      <x:c r="A12" s="21" t="str">
        <x:v>How to use</x:v>
      </x:c>
      <x:c r="B12" s="21" t="str">
        <x:v>1) Set Base Price USD in B3</x:v>
      </x:c>
      <x:c r="C12" s="21" t="str">
        <x:v>2) Edit PPP/Market Adj/FX in PricingModel</x:v>
      </x:c>
      <x:c r="D12" s="21" t="str">
        <x:v>3) Check Final Rounded Local Price</x:v>
      </x:c>
      <x:c r="E12" s="21" t="str">
        <x:v>4) Enter prices manually in Play Console</x:v>
      </x:c>
      <x:c r="F12" s="21" t="str"/>
      <x:c r="G12" s="21" t="str"/>
      <x:c r="H12" s="21" t="str"/>
    </x:row>
    <x:row r="14">
      <x:c r="A14" s="25" t="str">
        <x:v>Tier</x:v>
      </x:c>
      <x:c r="B14" s="25" t="str">
        <x:v>PPP Range</x:v>
      </x:c>
      <x:c r="C14" s="25" t="str">
        <x:v>Strategy</x:v>
      </x:c>
      <x:c r="D14" s="25" t="str">
        <x:v>Typical Use</x:v>
      </x:c>
      <x:c r="E14" t="str"/>
      <x:c r="F14" t="str"/>
      <x:c r="G14" t="str"/>
      <x:c r="H14" t="str"/>
    </x:row>
    <x:row r="15">
      <x:c r="A15" s="28" t="str">
        <x:v>A</x:v>
      </x:c>
      <x:c r="B15" s="28" t="str">
        <x:v>0.80 - 1.00</x:v>
      </x:c>
      <x:c r="C15" s="28" t="str">
        <x:v>Premium / near full price</x:v>
      </x:c>
      <x:c r="D15" s="28" t="str">
        <x:v>US, wealthier EU</x:v>
      </x:c>
      <x:c r="E15" t="str"/>
      <x:c r="F15" t="str"/>
      <x:c r="G15" t="str"/>
      <x:c r="H15" t="str"/>
    </x:row>
    <x:row r="16">
      <x:c r="A16" s="28" t="str">
        <x:v>B</x:v>
      </x:c>
      <x:c r="B16" s="28" t="str">
        <x:v>0.60 - 0.79</x:v>
      </x:c>
      <x:c r="C16" s="28" t="str">
        <x:v>Slight discount</x:v>
      </x:c>
      <x:c r="D16" s="28" t="str">
        <x:v>Strong purchasing power</x:v>
      </x:c>
      <x:c r="E16" t="str"/>
      <x:c r="F16" t="str"/>
      <x:c r="G16" t="str"/>
      <x:c r="H16" t="str"/>
    </x:row>
    <x:row r="17">
      <x:c r="A17" s="28" t="str">
        <x:v>C</x:v>
      </x:c>
      <x:c r="B17" s="28" t="str">
        <x:v>0.40 - 0.59</x:v>
      </x:c>
      <x:c r="C17" s="28" t="str">
        <x:v>Mid discount</x:v>
      </x:c>
      <x:c r="D17" s="28" t="str">
        <x:v>Balanced conversion/revenue</x:v>
      </x:c>
      <x:c r="E17" t="str"/>
      <x:c r="F17" t="str"/>
      <x:c r="G17" t="str"/>
      <x:c r="H17" t="str"/>
    </x:row>
    <x:row r="18">
      <x:c r="A18" s="28" t="str">
        <x:v>D/E</x:v>
      </x:c>
      <x:c r="B18" s="28" t="str">
        <x:v>0.10 - 0.39</x:v>
      </x:c>
      <x:c r="C18" s="28" t="str">
        <x:v>Aggressive local price</x:v>
      </x:c>
      <x:c r="D18" s="28" t="str">
        <x:v>Volume markets</x:v>
      </x:c>
      <x:c r="E18" t="str"/>
      <x:c r="F18" t="str"/>
      <x:c r="G18" t="str"/>
      <x:c r="H18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</x:cols>
  <x:sheetData>
    <x:row r="1">
      <x:c r="A1" s="36" t="str">
        <x:v>Country</x:v>
      </x:c>
      <x:c r="B1" s="36" t="str">
        <x:v>Currency</x:v>
      </x:c>
      <x:c r="C1" s="36" t="str">
        <x:v>PPP Factor</x:v>
      </x:c>
      <x:c r="D1" s="36" t="str">
        <x:v>Tier</x:v>
      </x:c>
      <x:c r="E1" s="36" t="str">
        <x:v>Base USD</x:v>
      </x:c>
      <x:c r="F1" s="36" t="str">
        <x:v>PPP Price USD</x:v>
      </x:c>
      <x:c r="G1" s="36" t="str">
        <x:v>Market Adj</x:v>
      </x:c>
      <x:c r="H1" s="36" t="str">
        <x:v>FX USD→Local</x:v>
      </x:c>
      <x:c r="I1" s="36" t="str">
        <x:v>Raw Local Price</x:v>
      </x:c>
      <x:c r="J1" s="36" t="str">
        <x:v>Rounding Group</x:v>
      </x:c>
      <x:c r="K1" s="36" t="str">
        <x:v>Final Rounded Local</x:v>
      </x:c>
      <x:c r="L1" s="36" t="str">
        <x:v>Final USD Approx</x:v>
      </x:c>
      <x:c r="M1" s="36" t="str">
        <x:v>Recommended Action</x:v>
      </x:c>
      <x:c r="N1" s="36" t="str">
        <x:v>FX Formula for Google Sheets</x:v>
      </x:c>
      <x:c r="O1" s="36" t="str">
        <x:v>Notes</x:v>
      </x:c>
    </x:row>
    <x:row r="2">
      <x:c r="A2" s="37" t="str">
        <x:v>United States</x:v>
      </x:c>
      <x:c r="B2" s="37" t="str">
        <x:v>USD</x:v>
      </x:c>
      <x:c r="C2" s="42" t="n">
        <x:v>1</x:v>
      </x:c>
      <x:c r="D2" s="37" t="str">
        <x:f>IF(C2&gt;=0.8,"A",IF(C2&gt;=0.6,"B",IF(C2&gt;=0.4,"C",IF(C2&gt;=0.2,"D","E"))))</x:f>
        <x:v>A</x:v>
      </x:c>
      <x:c r="E2" s="38" t="n">
        <x:f>Dashboard!$B$3</x:f>
        <x:v>2.99</x:v>
      </x:c>
      <x:c r="F2" s="38" t="n">
        <x:f>MAX(Dashboard!$B$4,E2*C2)</x:f>
        <x:v>2.99</x:v>
      </x:c>
      <x:c r="G2" s="42" t="n">
        <x:v>1</x:v>
      </x:c>
      <x:c r="H2" s="42" t="n">
        <x:v>1</x:v>
      </x:c>
      <x:c r="I2" s="38" t="n">
        <x:f>F2*G2*H2</x:f>
        <x:v>2.99</x:v>
      </x:c>
      <x:c r="J2" s="37" t="str">
        <x:v>USD_99</x:v>
      </x:c>
      <x:c r="K2" s="38" t="n">
        <x:f>IF(J2="TRY_TIERS",IF(I2&lt;25,19,IF(I2&lt;35,29,IF(I2&lt;45,39,IF(I2&lt;60,49,79)))),
IF(J2="INR_TIERS",IF(I2&lt;40,29,IF(I2&lt;70,49,99)),
IF(J2="BRL_90",IF(I2&lt;3,2.9,IF(I2&lt;6,4.9,IF(I2&lt;10,6.9,9.9))),
IF(J2="IDR_000",ROUND(I2/1000,0)*1000,
IF(J2="JPY_00",ROUND(I2/100,0)*100,
IF(J2="KRW_000",ROUND(I2/1000,0)*1000,
IF(J2="VND_000",ROUND(I2/1000,0)*1000,
IF(OR(J2="USD_99",J2="EUR_99",J2="GBP_99",J2="CAD_99",J2="AUD_99",J2="PLN_99"),MAX(0.49,ROUND(I2,0)-0.01),
IF(J2="MXN_00",ROUND(I2,0),IF(J2="THB_00",ROUND(I2,0),ROUND(I2,2)))))))))))</x:f>
        <x:v>2.99</x:v>
      </x:c>
      <x:c r="L2" s="38" t="n">
        <x:f>K2/H2</x:f>
        <x:v>2.99</x:v>
      </x:c>
      <x:c r="M2" s="37" t="str">
        <x:f>IF(L2&lt;Dashboard!$B$4,"Below global min",IF(AND(C2&gt;=0.8,L2&lt;Dashboard!$B$5),"Raise high-PPP floor","OK"))</x:f>
        <x:v>OK</x:v>
      </x:c>
      <x:c r="N2" s="48" t="str">
        <x:v>=GOOGLEFINANCE("CURRENCY:USDUSD")</x:v>
      </x:c>
      <x:c r="O2" s="37" t="str">
        <x:v>Reference market</x:v>
      </x:c>
    </x:row>
    <x:row r="3">
      <x:c r="A3" s="37" t="str">
        <x:v>Germany</x:v>
      </x:c>
      <x:c r="B3" s="37" t="str">
        <x:v>EUR</x:v>
      </x:c>
      <x:c r="C3" s="42" t="n">
        <x:v>0.85</x:v>
      </x:c>
      <x:c r="D3" s="37" t="str">
        <x:f>IF(C3&gt;=0.8,"A",IF(C3&gt;=0.6,"B",IF(C3&gt;=0.4,"C",IF(C3&gt;=0.2,"D","E"))))</x:f>
        <x:v>A</x:v>
      </x:c>
      <x:c r="E3" s="38" t="n">
        <x:f>Dashboard!$B$3</x:f>
        <x:v>2.99</x:v>
      </x:c>
      <x:c r="F3" s="38" t="n">
        <x:f>MAX(Dashboard!$B$4,E3*C3)</x:f>
        <x:v>2.5415</x:v>
      </x:c>
      <x:c r="G3" s="42" t="n">
        <x:v>1</x:v>
      </x:c>
      <x:c r="H3" s="42" t="n">
        <x:v>0.93</x:v>
      </x:c>
      <x:c r="I3" s="38" t="n">
        <x:f>F3*G3*H3</x:f>
        <x:v>2.363595</x:v>
      </x:c>
      <x:c r="J3" s="37" t="str">
        <x:v>EUR_99</x:v>
      </x:c>
      <x:c r="K3" s="38" t="n">
        <x:f>IF(J3="TRY_TIERS",IF(I3&lt;25,19,IF(I3&lt;35,29,IF(I3&lt;45,39,IF(I3&lt;60,49,79)))),
IF(J3="INR_TIERS",IF(I3&lt;40,29,IF(I3&lt;70,49,99)),
IF(J3="BRL_90",IF(I3&lt;3,2.9,IF(I3&lt;6,4.9,IF(I3&lt;10,6.9,9.9))),
IF(J3="IDR_000",ROUND(I3/1000,0)*1000,
IF(J3="JPY_00",ROUND(I3/100,0)*100,
IF(J3="KRW_000",ROUND(I3/1000,0)*1000,
IF(J3="VND_000",ROUND(I3/1000,0)*1000,
IF(OR(J3="USD_99",J3="EUR_99",J3="GBP_99",J3="CAD_99",J3="AUD_99",J3="PLN_99"),MAX(0.49,ROUND(I3,0)-0.01),
IF(J3="MXN_00",ROUND(I3,0),IF(J3="THB_00",ROUND(I3,0),ROUND(I3,2)))))))))))</x:f>
        <x:v>1.99</x:v>
      </x:c>
      <x:c r="L3" s="38" t="n">
        <x:f>K3/H3</x:f>
        <x:v>2.139784946236559</x:v>
      </x:c>
      <x:c r="M3" s="37" t="str">
        <x:f>IF(L3&lt;Dashboard!$B$4,"Below global min",IF(AND(C3&gt;=0.8,L3&lt;Dashboard!$B$5),"Raise high-PPP floor","OK"))</x:f>
        <x:v>OK</x:v>
      </x:c>
      <x:c r="N3" s="48" t="str">
        <x:v>=GOOGLEFINANCE("CURRENCY:USDEUR")</x:v>
      </x:c>
      <x:c r="O3" s="37" t="str">
        <x:v>EU premium market</x:v>
      </x:c>
    </x:row>
    <x:row r="4">
      <x:c r="A4" s="37" t="str">
        <x:v>United Kingdom</x:v>
      </x:c>
      <x:c r="B4" s="37" t="str">
        <x:v>GBP</x:v>
      </x:c>
      <x:c r="C4" s="42" t="n">
        <x:v>0.83</x:v>
      </x:c>
      <x:c r="D4" s="37" t="str">
        <x:f>IF(C4&gt;=0.8,"A",IF(C4&gt;=0.6,"B",IF(C4&gt;=0.4,"C",IF(C4&gt;=0.2,"D","E"))))</x:f>
        <x:v>A</x:v>
      </x:c>
      <x:c r="E4" s="38" t="n">
        <x:f>Dashboard!$B$3</x:f>
        <x:v>2.99</x:v>
      </x:c>
      <x:c r="F4" s="38" t="n">
        <x:f>MAX(Dashboard!$B$4,E4*C4)</x:f>
        <x:v>2.4817</x:v>
      </x:c>
      <x:c r="G4" s="42" t="n">
        <x:v>1</x:v>
      </x:c>
      <x:c r="H4" s="42" t="n">
        <x:v>0.8</x:v>
      </x:c>
      <x:c r="I4" s="38" t="n">
        <x:f>F4*G4*H4</x:f>
        <x:v>1.98536</x:v>
      </x:c>
      <x:c r="J4" s="37" t="str">
        <x:v>GBP_99</x:v>
      </x:c>
      <x:c r="K4" s="38" t="n">
        <x:f>IF(J4="TRY_TIERS",IF(I4&lt;25,19,IF(I4&lt;35,29,IF(I4&lt;45,39,IF(I4&lt;60,49,79)))),
IF(J4="INR_TIERS",IF(I4&lt;40,29,IF(I4&lt;70,49,99)),
IF(J4="BRL_90",IF(I4&lt;3,2.9,IF(I4&lt;6,4.9,IF(I4&lt;10,6.9,9.9))),
IF(J4="IDR_000",ROUND(I4/1000,0)*1000,
IF(J4="JPY_00",ROUND(I4/100,0)*100,
IF(J4="KRW_000",ROUND(I4/1000,0)*1000,
IF(J4="VND_000",ROUND(I4/1000,0)*1000,
IF(OR(J4="USD_99",J4="EUR_99",J4="GBP_99",J4="CAD_99",J4="AUD_99",J4="PLN_99"),MAX(0.49,ROUND(I4,0)-0.01),
IF(J4="MXN_00",ROUND(I4,0),IF(J4="THB_00",ROUND(I4,0),ROUND(I4,2)))))))))))</x:f>
        <x:v>1.99</x:v>
      </x:c>
      <x:c r="L4" s="38" t="n">
        <x:f>K4/H4</x:f>
        <x:v>2.4875</x:v>
      </x:c>
      <x:c r="M4" s="37" t="str">
        <x:f>IF(L4&lt;Dashboard!$B$4,"Below global min",IF(AND(C4&gt;=0.8,L4&lt;Dashboard!$B$5),"Raise high-PPP floor","OK"))</x:f>
        <x:v>OK</x:v>
      </x:c>
      <x:c r="N4" s="48" t="str">
        <x:v>=GOOGLEFINANCE("CURRENCY:USDGBP")</x:v>
      </x:c>
      <x:c r="O4" s="37" t="str"/>
    </x:row>
    <x:row r="5">
      <x:c r="A5" s="37" t="str">
        <x:v>Türkiye</x:v>
      </x:c>
      <x:c r="B5" s="37" t="str">
        <x:v>TRY</x:v>
      </x:c>
      <x:c r="C5" s="42" t="n">
        <x:v>0.4</x:v>
      </x:c>
      <x:c r="D5" s="37" t="str">
        <x:f>IF(C5&gt;=0.8,"A",IF(C5&gt;=0.6,"B",IF(C5&gt;=0.4,"C",IF(C5&gt;=0.2,"D","E"))))</x:f>
        <x:v>C</x:v>
      </x:c>
      <x:c r="E5" s="38" t="n">
        <x:f>Dashboard!$B$3</x:f>
        <x:v>2.99</x:v>
      </x:c>
      <x:c r="F5" s="38" t="n">
        <x:f>MAX(Dashboard!$B$4,E5*C5)</x:f>
        <x:v>1.1960000000000002</x:v>
      </x:c>
      <x:c r="G5" s="42" t="n">
        <x:v>0.9</x:v>
      </x:c>
      <x:c r="H5" s="42" t="n">
        <x:v>32</x:v>
      </x:c>
      <x:c r="I5" s="38" t="n">
        <x:f>F5*G5*H5</x:f>
        <x:v>34.44480000000001</x:v>
      </x:c>
      <x:c r="J5" s="37" t="str">
        <x:v>TRY_TIERS</x:v>
      </x:c>
      <x:c r="K5" s="38" t="n">
        <x:f>IF(J5="TRY_TIERS",IF(I5&lt;25,19,IF(I5&lt;35,29,IF(I5&lt;45,39,IF(I5&lt;60,49,79)))),
IF(J5="INR_TIERS",IF(I5&lt;40,29,IF(I5&lt;70,49,99)),
IF(J5="BRL_90",IF(I5&lt;3,2.9,IF(I5&lt;6,4.9,IF(I5&lt;10,6.9,9.9))),
IF(J5="IDR_000",ROUND(I5/1000,0)*1000,
IF(J5="JPY_00",ROUND(I5/100,0)*100,
IF(J5="KRW_000",ROUND(I5/1000,0)*1000,
IF(J5="VND_000",ROUND(I5/1000,0)*1000,
IF(OR(J5="USD_99",J5="EUR_99",J5="GBP_99",J5="CAD_99",J5="AUD_99",J5="PLN_99"),MAX(0.49,ROUND(I5,0)-0.01),
IF(J5="MXN_00",ROUND(I5,0),IF(J5="THB_00",ROUND(I5,0),ROUND(I5,2)))))))))))</x:f>
        <x:v>29</x:v>
      </x:c>
      <x:c r="L5" s="38" t="n">
        <x:f>K5/H5</x:f>
        <x:v>0.90625</x:v>
      </x:c>
      <x:c r="M5" s="37" t="str">
        <x:f>IF(L5&lt;Dashboard!$B$4,"Below global min",IF(AND(C5&gt;=0.8,L5&lt;Dashboard!$B$5),"Raise high-PPP floor","OK"))</x:f>
        <x:v>OK</x:v>
      </x:c>
      <x:c r="N5" s="48" t="str">
        <x:v>=GOOGLEFINANCE("CURRENCY:USDTRY")</x:v>
      </x:c>
      <x:c r="O5" s="37" t="str">
        <x:v>Usually test 29/39/49</x:v>
      </x:c>
    </x:row>
    <x:row r="6">
      <x:c r="A6" s="37" t="str">
        <x:v>India</x:v>
      </x:c>
      <x:c r="B6" s="37" t="str">
        <x:v>INR</x:v>
      </x:c>
      <x:c r="C6" s="42" t="n">
        <x:v>0.2</x:v>
      </x:c>
      <x:c r="D6" s="37" t="str">
        <x:f>IF(C6&gt;=0.8,"A",IF(C6&gt;=0.6,"B",IF(C6&gt;=0.4,"C",IF(C6&gt;=0.2,"D","E"))))</x:f>
        <x:v>D</x:v>
      </x:c>
      <x:c r="E6" s="38" t="n">
        <x:f>Dashboard!$B$3</x:f>
        <x:v>2.99</x:v>
      </x:c>
      <x:c r="F6" s="38" t="n">
        <x:f>MAX(Dashboard!$B$4,E6*C6)</x:f>
        <x:v>0.5980000000000001</x:v>
      </x:c>
      <x:c r="G6" s="42" t="n">
        <x:v>0.8</x:v>
      </x:c>
      <x:c r="H6" s="42" t="n">
        <x:v>83</x:v>
      </x:c>
      <x:c r="I6" s="38" t="n">
        <x:f>F6*G6*H6</x:f>
        <x:v>39.70720000000001</x:v>
      </x:c>
      <x:c r="J6" s="37" t="str">
        <x:v>INR_TIERS</x:v>
      </x:c>
      <x:c r="K6" s="38" t="n">
        <x:f>IF(J6="TRY_TIERS",IF(I6&lt;25,19,IF(I6&lt;35,29,IF(I6&lt;45,39,IF(I6&lt;60,49,79)))),
IF(J6="INR_TIERS",IF(I6&lt;40,29,IF(I6&lt;70,49,99)),
IF(J6="BRL_90",IF(I6&lt;3,2.9,IF(I6&lt;6,4.9,IF(I6&lt;10,6.9,9.9))),
IF(J6="IDR_000",ROUND(I6/1000,0)*1000,
IF(J6="JPY_00",ROUND(I6/100,0)*100,
IF(J6="KRW_000",ROUND(I6/1000,0)*1000,
IF(J6="VND_000",ROUND(I6/1000,0)*1000,
IF(OR(J6="USD_99",J6="EUR_99",J6="GBP_99",J6="CAD_99",J6="AUD_99",J6="PLN_99"),MAX(0.49,ROUND(I6,0)-0.01),
IF(J6="MXN_00",ROUND(I6,0),IF(J6="THB_00",ROUND(I6,0),ROUND(I6,2)))))))))))</x:f>
        <x:v>29</x:v>
      </x:c>
      <x:c r="L6" s="38" t="n">
        <x:f>K6/H6</x:f>
        <x:v>0.3493975903614458</x:v>
      </x:c>
      <x:c r="M6" s="37" t="str">
        <x:f>IF(L6&lt;Dashboard!$B$4,"Below global min",IF(AND(C6&gt;=0.8,L6&lt;Dashboard!$B$5),"Raise high-PPP floor","OK"))</x:f>
        <x:v>Below global min</x:v>
      </x:c>
      <x:c r="N6" s="48" t="str">
        <x:v>=GOOGLEFINANCE("CURRENCY:USDINR")</x:v>
      </x:c>
      <x:c r="O6" s="37" t="str">
        <x:v>Volume market</x:v>
      </x:c>
    </x:row>
    <x:row r="7">
      <x:c r="A7" s="37" t="str">
        <x:v>Brazil</x:v>
      </x:c>
      <x:c r="B7" s="37" t="str">
        <x:v>BRL</x:v>
      </x:c>
      <x:c r="C7" s="42" t="n">
        <x:v>0.35</x:v>
      </x:c>
      <x:c r="D7" s="37" t="str">
        <x:f>IF(C7&gt;=0.8,"A",IF(C7&gt;=0.6,"B",IF(C7&gt;=0.4,"C",IF(C7&gt;=0.2,"D","E"))))</x:f>
        <x:v>D</x:v>
      </x:c>
      <x:c r="E7" s="38" t="n">
        <x:f>Dashboard!$B$3</x:f>
        <x:v>2.99</x:v>
      </x:c>
      <x:c r="F7" s="38" t="n">
        <x:f>MAX(Dashboard!$B$4,E7*C7)</x:f>
        <x:v>1.0465</x:v>
      </x:c>
      <x:c r="G7" s="42" t="n">
        <x:v>0.85</x:v>
      </x:c>
      <x:c r="H7" s="42" t="n">
        <x:v>5</x:v>
      </x:c>
      <x:c r="I7" s="38" t="n">
        <x:f>F7*G7*H7</x:f>
        <x:v>4.447625</x:v>
      </x:c>
      <x:c r="J7" s="37" t="str">
        <x:v>BRL_90</x:v>
      </x:c>
      <x:c r="K7" s="38" t="n">
        <x:f>IF(J7="TRY_TIERS",IF(I7&lt;25,19,IF(I7&lt;35,29,IF(I7&lt;45,39,IF(I7&lt;60,49,79)))),
IF(J7="INR_TIERS",IF(I7&lt;40,29,IF(I7&lt;70,49,99)),
IF(J7="BRL_90",IF(I7&lt;3,2.9,IF(I7&lt;6,4.9,IF(I7&lt;10,6.9,9.9))),
IF(J7="IDR_000",ROUND(I7/1000,0)*1000,
IF(J7="JPY_00",ROUND(I7/100,0)*100,
IF(J7="KRW_000",ROUND(I7/1000,0)*1000,
IF(J7="VND_000",ROUND(I7/1000,0)*1000,
IF(OR(J7="USD_99",J7="EUR_99",J7="GBP_99",J7="CAD_99",J7="AUD_99",J7="PLN_99"),MAX(0.49,ROUND(I7,0)-0.01),
IF(J7="MXN_00",ROUND(I7,0),IF(J7="THB_00",ROUND(I7,0),ROUND(I7,2)))))))))))</x:f>
        <x:v>4.9</x:v>
      </x:c>
      <x:c r="L7" s="38" t="n">
        <x:f>K7/H7</x:f>
        <x:v>0.9800000000000001</x:v>
      </x:c>
      <x:c r="M7" s="37" t="str">
        <x:f>IF(L7&lt;Dashboard!$B$4,"Below global min",IF(AND(C7&gt;=0.8,L7&lt;Dashboard!$B$5),"Raise high-PPP floor","OK"))</x:f>
        <x:v>OK</x:v>
      </x:c>
      <x:c r="N7" s="48" t="str">
        <x:v>=GOOGLEFINANCE("CURRENCY:USDBRL")</x:v>
      </x:c>
      <x:c r="O7" s="37" t="str"/>
    </x:row>
    <x:row r="8">
      <x:c r="A8" s="37" t="str">
        <x:v>Indonesia</x:v>
      </x:c>
      <x:c r="B8" s="37" t="str">
        <x:v>IDR</x:v>
      </x:c>
      <x:c r="C8" s="42" t="n">
        <x:v>0.25</x:v>
      </x:c>
      <x:c r="D8" s="37" t="str">
        <x:f>IF(C8&gt;=0.8,"A",IF(C8&gt;=0.6,"B",IF(C8&gt;=0.4,"C",IF(C8&gt;=0.2,"D","E"))))</x:f>
        <x:v>D</x:v>
      </x:c>
      <x:c r="E8" s="38" t="n">
        <x:f>Dashboard!$B$3</x:f>
        <x:v>2.99</x:v>
      </x:c>
      <x:c r="F8" s="38" t="n">
        <x:f>MAX(Dashboard!$B$4,E8*C8)</x:f>
        <x:v>0.7475</x:v>
      </x:c>
      <x:c r="G8" s="42" t="n">
        <x:v>0.8</x:v>
      </x:c>
      <x:c r="H8" s="42" t="n">
        <x:v>15500</x:v>
      </x:c>
      <x:c r="I8" s="38" t="n">
        <x:f>F8*G8*H8</x:f>
        <x:v>9269.000000000002</x:v>
      </x:c>
      <x:c r="J8" s="37" t="str">
        <x:v>IDR_000</x:v>
      </x:c>
      <x:c r="K8" s="38" t="n">
        <x:f>IF(J8="TRY_TIERS",IF(I8&lt;25,19,IF(I8&lt;35,29,IF(I8&lt;45,39,IF(I8&lt;60,49,79)))),
IF(J8="INR_TIERS",IF(I8&lt;40,29,IF(I8&lt;70,49,99)),
IF(J8="BRL_90",IF(I8&lt;3,2.9,IF(I8&lt;6,4.9,IF(I8&lt;10,6.9,9.9))),
IF(J8="IDR_000",ROUND(I8/1000,0)*1000,
IF(J8="JPY_00",ROUND(I8/100,0)*100,
IF(J8="KRW_000",ROUND(I8/1000,0)*1000,
IF(J8="VND_000",ROUND(I8/1000,0)*1000,
IF(OR(J8="USD_99",J8="EUR_99",J8="GBP_99",J8="CAD_99",J8="AUD_99",J8="PLN_99"),MAX(0.49,ROUND(I8,0)-0.01),
IF(J8="MXN_00",ROUND(I8,0),IF(J8="THB_00",ROUND(I8,0),ROUND(I8,2)))))))))))</x:f>
        <x:v>9000</x:v>
      </x:c>
      <x:c r="L8" s="38" t="n">
        <x:f>K8/H8</x:f>
        <x:v>0.5806451612903226</x:v>
      </x:c>
      <x:c r="M8" s="37" t="str">
        <x:f>IF(L8&lt;Dashboard!$B$4,"Below global min",IF(AND(C8&gt;=0.8,L8&lt;Dashboard!$B$5),"Raise high-PPP floor","OK"))</x:f>
        <x:v>OK</x:v>
      </x:c>
      <x:c r="N8" s="48" t="str">
        <x:v>=GOOGLEFINANCE("CURRENCY:USDIDR")</x:v>
      </x:c>
      <x:c r="O8" s="37" t="str"/>
    </x:row>
    <x:row r="9">
      <x:c r="A9" s="37" t="str">
        <x:v>Mexico</x:v>
      </x:c>
      <x:c r="B9" s="37" t="str">
        <x:v>MXN</x:v>
      </x:c>
      <x:c r="C9" s="42" t="n">
        <x:v>0.45</x:v>
      </x:c>
      <x:c r="D9" s="37" t="str">
        <x:f>IF(C9&gt;=0.8,"A",IF(C9&gt;=0.6,"B",IF(C9&gt;=0.4,"C",IF(C9&gt;=0.2,"D","E"))))</x:f>
        <x:v>C</x:v>
      </x:c>
      <x:c r="E9" s="38" t="n">
        <x:f>Dashboard!$B$3</x:f>
        <x:v>2.99</x:v>
      </x:c>
      <x:c r="F9" s="38" t="n">
        <x:f>MAX(Dashboard!$B$4,E9*C9)</x:f>
        <x:v>1.3455000000000001</x:v>
      </x:c>
      <x:c r="G9" s="42" t="n">
        <x:v>0.9</x:v>
      </x:c>
      <x:c r="H9" s="42" t="n">
        <x:v>17</x:v>
      </x:c>
      <x:c r="I9" s="38" t="n">
        <x:f>F9*G9*H9</x:f>
        <x:v>20.586150000000004</x:v>
      </x:c>
      <x:c r="J9" s="37" t="str">
        <x:v>MXN_00</x:v>
      </x:c>
      <x:c r="K9" s="38" t="n">
        <x:f>IF(J9="TRY_TIERS",IF(I9&lt;25,19,IF(I9&lt;35,29,IF(I9&lt;45,39,IF(I9&lt;60,49,79)))),
IF(J9="INR_TIERS",IF(I9&lt;40,29,IF(I9&lt;70,49,99)),
IF(J9="BRL_90",IF(I9&lt;3,2.9,IF(I9&lt;6,4.9,IF(I9&lt;10,6.9,9.9))),
IF(J9="IDR_000",ROUND(I9/1000,0)*1000,
IF(J9="JPY_00",ROUND(I9/100,0)*100,
IF(J9="KRW_000",ROUND(I9/1000,0)*1000,
IF(J9="VND_000",ROUND(I9/1000,0)*1000,
IF(OR(J9="USD_99",J9="EUR_99",J9="GBP_99",J9="CAD_99",J9="AUD_99",J9="PLN_99"),MAX(0.49,ROUND(I9,0)-0.01),
IF(J9="MXN_00",ROUND(I9,0),IF(J9="THB_00",ROUND(I9,0),ROUND(I9,2)))))))))))</x:f>
        <x:v>21</x:v>
      </x:c>
      <x:c r="L9" s="38" t="n">
        <x:f>K9/H9</x:f>
        <x:v>1.2352941176470589</x:v>
      </x:c>
      <x:c r="M9" s="37" t="str">
        <x:f>IF(L9&lt;Dashboard!$B$4,"Below global min",IF(AND(C9&gt;=0.8,L9&lt;Dashboard!$B$5),"Raise high-PPP floor","OK"))</x:f>
        <x:v>OK</x:v>
      </x:c>
      <x:c r="N9" s="48" t="str">
        <x:v>=GOOGLEFINANCE("CURRENCY:USDMXN")</x:v>
      </x:c>
      <x:c r="O9" s="37" t="str"/>
    </x:row>
    <x:row r="10">
      <x:c r="A10" s="37" t="str">
        <x:v>Japan</x:v>
      </x:c>
      <x:c r="B10" s="37" t="str">
        <x:v>JPY</x:v>
      </x:c>
      <x:c r="C10" s="42" t="n">
        <x:v>0.75</x:v>
      </x:c>
      <x:c r="D10" s="37" t="str">
        <x:f>IF(C10&gt;=0.8,"A",IF(C10&gt;=0.6,"B",IF(C10&gt;=0.4,"C",IF(C10&gt;=0.2,"D","E"))))</x:f>
        <x:v>B</x:v>
      </x:c>
      <x:c r="E10" s="38" t="n">
        <x:f>Dashboard!$B$3</x:f>
        <x:v>2.99</x:v>
      </x:c>
      <x:c r="F10" s="38" t="n">
        <x:f>MAX(Dashboard!$B$4,E10*C10)</x:f>
        <x:v>2.2425</x:v>
      </x:c>
      <x:c r="G10" s="42" t="n">
        <x:v>1</x:v>
      </x:c>
      <x:c r="H10" s="42" t="n">
        <x:v>150</x:v>
      </x:c>
      <x:c r="I10" s="38" t="n">
        <x:f>F10*G10*H10</x:f>
        <x:v>336.375</x:v>
      </x:c>
      <x:c r="J10" s="37" t="str">
        <x:v>JPY_00</x:v>
      </x:c>
      <x:c r="K10" s="38" t="n">
        <x:f>IF(J10="TRY_TIERS",IF(I10&lt;25,19,IF(I10&lt;35,29,IF(I10&lt;45,39,IF(I10&lt;60,49,79)))),
IF(J10="INR_TIERS",IF(I10&lt;40,29,IF(I10&lt;70,49,99)),
IF(J10="BRL_90",IF(I10&lt;3,2.9,IF(I10&lt;6,4.9,IF(I10&lt;10,6.9,9.9))),
IF(J10="IDR_000",ROUND(I10/1000,0)*1000,
IF(J10="JPY_00",ROUND(I10/100,0)*100,
IF(J10="KRW_000",ROUND(I10/1000,0)*1000,
IF(J10="VND_000",ROUND(I10/1000,0)*1000,
IF(OR(J10="USD_99",J10="EUR_99",J10="GBP_99",J10="CAD_99",J10="AUD_99",J10="PLN_99"),MAX(0.49,ROUND(I10,0)-0.01),
IF(J10="MXN_00",ROUND(I10,0),IF(J10="THB_00",ROUND(I10,0),ROUND(I10,2)))))))))))</x:f>
        <x:v>300</x:v>
      </x:c>
      <x:c r="L10" s="38" t="n">
        <x:f>K10/H10</x:f>
        <x:v>2</x:v>
      </x:c>
      <x:c r="M10" s="37" t="str">
        <x:f>IF(L10&lt;Dashboard!$B$4,"Below global min",IF(AND(C10&gt;=0.8,L10&lt;Dashboard!$B$5),"Raise high-PPP floor","OK"))</x:f>
        <x:v>OK</x:v>
      </x:c>
      <x:c r="N10" s="48" t="str">
        <x:v>=GOOGLEFINANCE("CURRENCY:USDJPY")</x:v>
      </x:c>
      <x:c r="O10" s="37" t="str"/>
    </x:row>
    <x:row r="11">
      <x:c r="A11" s="37" t="str">
        <x:v>South Korea</x:v>
      </x:c>
      <x:c r="B11" s="37" t="str">
        <x:v>KRW</x:v>
      </x:c>
      <x:c r="C11" s="42" t="n">
        <x:v>0.7</x:v>
      </x:c>
      <x:c r="D11" s="37" t="str">
        <x:f>IF(C11&gt;=0.8,"A",IF(C11&gt;=0.6,"B",IF(C11&gt;=0.4,"C",IF(C11&gt;=0.2,"D","E"))))</x:f>
        <x:v>B</x:v>
      </x:c>
      <x:c r="E11" s="38" t="n">
        <x:f>Dashboard!$B$3</x:f>
        <x:v>2.99</x:v>
      </x:c>
      <x:c r="F11" s="38" t="n">
        <x:f>MAX(Dashboard!$B$4,E11*C11)</x:f>
        <x:v>2.093</x:v>
      </x:c>
      <x:c r="G11" s="42" t="n">
        <x:v>1</x:v>
      </x:c>
      <x:c r="H11" s="42" t="n">
        <x:v>1350</x:v>
      </x:c>
      <x:c r="I11" s="38" t="n">
        <x:f>F11*G11*H11</x:f>
        <x:v>2825.55</x:v>
      </x:c>
      <x:c r="J11" s="37" t="str">
        <x:v>KRW_000</x:v>
      </x:c>
      <x:c r="K11" s="38" t="n">
        <x:f>IF(J11="TRY_TIERS",IF(I11&lt;25,19,IF(I11&lt;35,29,IF(I11&lt;45,39,IF(I11&lt;60,49,79)))),
IF(J11="INR_TIERS",IF(I11&lt;40,29,IF(I11&lt;70,49,99)),
IF(J11="BRL_90",IF(I11&lt;3,2.9,IF(I11&lt;6,4.9,IF(I11&lt;10,6.9,9.9))),
IF(J11="IDR_000",ROUND(I11/1000,0)*1000,
IF(J11="JPY_00",ROUND(I11/100,0)*100,
IF(J11="KRW_000",ROUND(I11/1000,0)*1000,
IF(J11="VND_000",ROUND(I11/1000,0)*1000,
IF(OR(J11="USD_99",J11="EUR_99",J11="GBP_99",J11="CAD_99",J11="AUD_99",J11="PLN_99"),MAX(0.49,ROUND(I11,0)-0.01),
IF(J11="MXN_00",ROUND(I11,0),IF(J11="THB_00",ROUND(I11,0),ROUND(I11,2)))))))))))</x:f>
        <x:v>3000</x:v>
      </x:c>
      <x:c r="L11" s="38" t="n">
        <x:f>K11/H11</x:f>
        <x:v>2.2222222222222223</x:v>
      </x:c>
      <x:c r="M11" s="37" t="str">
        <x:f>IF(L11&lt;Dashboard!$B$4,"Below global min",IF(AND(C11&gt;=0.8,L11&lt;Dashboard!$B$5),"Raise high-PPP floor","OK"))</x:f>
        <x:v>OK</x:v>
      </x:c>
      <x:c r="N11" s="48" t="str">
        <x:v>=GOOGLEFINANCE("CURRENCY:USDKRW")</x:v>
      </x:c>
      <x:c r="O11" s="37" t="str"/>
    </x:row>
    <x:row r="12">
      <x:c r="A12" s="37" t="str">
        <x:v>Canada</x:v>
      </x:c>
      <x:c r="B12" s="37" t="str">
        <x:v>CAD</x:v>
      </x:c>
      <x:c r="C12" s="42" t="n">
        <x:v>0.85</x:v>
      </x:c>
      <x:c r="D12" s="37" t="str">
        <x:f>IF(C12&gt;=0.8,"A",IF(C12&gt;=0.6,"B",IF(C12&gt;=0.4,"C",IF(C12&gt;=0.2,"D","E"))))</x:f>
        <x:v>A</x:v>
      </x:c>
      <x:c r="E12" s="38" t="n">
        <x:f>Dashboard!$B$3</x:f>
        <x:v>2.99</x:v>
      </x:c>
      <x:c r="F12" s="38" t="n">
        <x:f>MAX(Dashboard!$B$4,E12*C12)</x:f>
        <x:v>2.5415</x:v>
      </x:c>
      <x:c r="G12" s="42" t="n">
        <x:v>1</x:v>
      </x:c>
      <x:c r="H12" s="42" t="n">
        <x:v>1.35</x:v>
      </x:c>
      <x:c r="I12" s="38" t="n">
        <x:f>F12*G12*H12</x:f>
        <x:v>3.4310250000000004</x:v>
      </x:c>
      <x:c r="J12" s="37" t="str">
        <x:v>CAD_99</x:v>
      </x:c>
      <x:c r="K12" s="38" t="n">
        <x:f>IF(J12="TRY_TIERS",IF(I12&lt;25,19,IF(I12&lt;35,29,IF(I12&lt;45,39,IF(I12&lt;60,49,79)))),
IF(J12="INR_TIERS",IF(I12&lt;40,29,IF(I12&lt;70,49,99)),
IF(J12="BRL_90",IF(I12&lt;3,2.9,IF(I12&lt;6,4.9,IF(I12&lt;10,6.9,9.9))),
IF(J12="IDR_000",ROUND(I12/1000,0)*1000,
IF(J12="JPY_00",ROUND(I12/100,0)*100,
IF(J12="KRW_000",ROUND(I12/1000,0)*1000,
IF(J12="VND_000",ROUND(I12/1000,0)*1000,
IF(OR(J12="USD_99",J12="EUR_99",J12="GBP_99",J12="CAD_99",J12="AUD_99",J12="PLN_99"),MAX(0.49,ROUND(I12,0)-0.01),
IF(J12="MXN_00",ROUND(I12,0),IF(J12="THB_00",ROUND(I12,0),ROUND(I12,2)))))))))))</x:f>
        <x:v>2.99</x:v>
      </x:c>
      <x:c r="L12" s="38" t="n">
        <x:f>K12/H12</x:f>
        <x:v>2.214814814814815</x:v>
      </x:c>
      <x:c r="M12" s="37" t="str">
        <x:f>IF(L12&lt;Dashboard!$B$4,"Below global min",IF(AND(C12&gt;=0.8,L12&lt;Dashboard!$B$5),"Raise high-PPP floor","OK"))</x:f>
        <x:v>OK</x:v>
      </x:c>
      <x:c r="N12" s="48" t="str">
        <x:v>=GOOGLEFINANCE("CURRENCY:USDCAD")</x:v>
      </x:c>
      <x:c r="O12" s="37" t="str"/>
    </x:row>
    <x:row r="13">
      <x:c r="A13" s="37" t="str">
        <x:v>Australia</x:v>
      </x:c>
      <x:c r="B13" s="37" t="str">
        <x:v>AUD</x:v>
      </x:c>
      <x:c r="C13" s="42" t="n">
        <x:v>0.82</x:v>
      </x:c>
      <x:c r="D13" s="37" t="str">
        <x:f>IF(C13&gt;=0.8,"A",IF(C13&gt;=0.6,"B",IF(C13&gt;=0.4,"C",IF(C13&gt;=0.2,"D","E"))))</x:f>
        <x:v>A</x:v>
      </x:c>
      <x:c r="E13" s="38" t="n">
        <x:f>Dashboard!$B$3</x:f>
        <x:v>2.99</x:v>
      </x:c>
      <x:c r="F13" s="38" t="n">
        <x:f>MAX(Dashboard!$B$4,E13*C13)</x:f>
        <x:v>2.4518</x:v>
      </x:c>
      <x:c r="G13" s="42" t="n">
        <x:v>1</x:v>
      </x:c>
      <x:c r="H13" s="42" t="n">
        <x:v>1.5</x:v>
      </x:c>
      <x:c r="I13" s="38" t="n">
        <x:f>F13*G13*H13</x:f>
        <x:v>3.6776999999999997</x:v>
      </x:c>
      <x:c r="J13" s="37" t="str">
        <x:v>AUD_99</x:v>
      </x:c>
      <x:c r="K13" s="38" t="n">
        <x:f>IF(J13="TRY_TIERS",IF(I13&lt;25,19,IF(I13&lt;35,29,IF(I13&lt;45,39,IF(I13&lt;60,49,79)))),
IF(J13="INR_TIERS",IF(I13&lt;40,29,IF(I13&lt;70,49,99)),
IF(J13="BRL_90",IF(I13&lt;3,2.9,IF(I13&lt;6,4.9,IF(I13&lt;10,6.9,9.9))),
IF(J13="IDR_000",ROUND(I13/1000,0)*1000,
IF(J13="JPY_00",ROUND(I13/100,0)*100,
IF(J13="KRW_000",ROUND(I13/1000,0)*1000,
IF(J13="VND_000",ROUND(I13/1000,0)*1000,
IF(OR(J13="USD_99",J13="EUR_99",J13="GBP_99",J13="CAD_99",J13="AUD_99",J13="PLN_99"),MAX(0.49,ROUND(I13,0)-0.01),
IF(J13="MXN_00",ROUND(I13,0),IF(J13="THB_00",ROUND(I13,0),ROUND(I13,2)))))))))))</x:f>
        <x:v>3.99</x:v>
      </x:c>
      <x:c r="L13" s="38" t="n">
        <x:f>K13/H13</x:f>
        <x:v>2.66</x:v>
      </x:c>
      <x:c r="M13" s="37" t="str">
        <x:f>IF(L13&lt;Dashboard!$B$4,"Below global min",IF(AND(C13&gt;=0.8,L13&lt;Dashboard!$B$5),"Raise high-PPP floor","OK"))</x:f>
        <x:v>OK</x:v>
      </x:c>
      <x:c r="N13" s="48" t="str">
        <x:v>=GOOGLEFINANCE("CURRENCY:USDAUD")</x:v>
      </x:c>
      <x:c r="O13" s="37" t="str"/>
    </x:row>
    <x:row r="14">
      <x:c r="A14" s="37" t="str">
        <x:v>Poland</x:v>
      </x:c>
      <x:c r="B14" s="37" t="str">
        <x:v>PLN</x:v>
      </x:c>
      <x:c r="C14" s="42" t="n">
        <x:v>0.55</x:v>
      </x:c>
      <x:c r="D14" s="37" t="str">
        <x:f>IF(C14&gt;=0.8,"A",IF(C14&gt;=0.6,"B",IF(C14&gt;=0.4,"C",IF(C14&gt;=0.2,"D","E"))))</x:f>
        <x:v>C</x:v>
      </x:c>
      <x:c r="E14" s="38" t="n">
        <x:f>Dashboard!$B$3</x:f>
        <x:v>2.99</x:v>
      </x:c>
      <x:c r="F14" s="38" t="n">
        <x:f>MAX(Dashboard!$B$4,E14*C14)</x:f>
        <x:v>1.6445000000000003</x:v>
      </x:c>
      <x:c r="G14" s="42" t="n">
        <x:v>0.95</x:v>
      </x:c>
      <x:c r="H14" s="42" t="n">
        <x:v>4</x:v>
      </x:c>
      <x:c r="I14" s="38" t="n">
        <x:f>F14*G14*H14</x:f>
        <x:v>6.249100000000001</x:v>
      </x:c>
      <x:c r="J14" s="37" t="str">
        <x:v>PLN_99</x:v>
      </x:c>
      <x:c r="K14" s="38" t="n">
        <x:f>IF(J14="TRY_TIERS",IF(I14&lt;25,19,IF(I14&lt;35,29,IF(I14&lt;45,39,IF(I14&lt;60,49,79)))),
IF(J14="INR_TIERS",IF(I14&lt;40,29,IF(I14&lt;70,49,99)),
IF(J14="BRL_90",IF(I14&lt;3,2.9,IF(I14&lt;6,4.9,IF(I14&lt;10,6.9,9.9))),
IF(J14="IDR_000",ROUND(I14/1000,0)*1000,
IF(J14="JPY_00",ROUND(I14/100,0)*100,
IF(J14="KRW_000",ROUND(I14/1000,0)*1000,
IF(J14="VND_000",ROUND(I14/1000,0)*1000,
IF(OR(J14="USD_99",J14="EUR_99",J14="GBP_99",J14="CAD_99",J14="AUD_99",J14="PLN_99"),MAX(0.49,ROUND(I14,0)-0.01),
IF(J14="MXN_00",ROUND(I14,0),IF(J14="THB_00",ROUND(I14,0),ROUND(I14,2)))))))))))</x:f>
        <x:v>5.99</x:v>
      </x:c>
      <x:c r="L14" s="38" t="n">
        <x:f>K14/H14</x:f>
        <x:v>1.4975</x:v>
      </x:c>
      <x:c r="M14" s="37" t="str">
        <x:f>IF(L14&lt;Dashboard!$B$4,"Below global min",IF(AND(C14&gt;=0.8,L14&lt;Dashboard!$B$5),"Raise high-PPP floor","OK"))</x:f>
        <x:v>OK</x:v>
      </x:c>
      <x:c r="N14" s="48" t="str">
        <x:v>=GOOGLEFINANCE("CURRENCY:USDPLN")</x:v>
      </x:c>
      <x:c r="O14" s="37" t="str"/>
    </x:row>
    <x:row r="15">
      <x:c r="A15" s="37" t="str">
        <x:v>Vietnam</x:v>
      </x:c>
      <x:c r="B15" s="37" t="str">
        <x:v>VND</x:v>
      </x:c>
      <x:c r="C15" s="42" t="n">
        <x:v>0.18</x:v>
      </x:c>
      <x:c r="D15" s="37" t="str">
        <x:f>IF(C15&gt;=0.8,"A",IF(C15&gt;=0.6,"B",IF(C15&gt;=0.4,"C",IF(C15&gt;=0.2,"D","E"))))</x:f>
        <x:v>E</x:v>
      </x:c>
      <x:c r="E15" s="38" t="n">
        <x:f>Dashboard!$B$3</x:f>
        <x:v>2.99</x:v>
      </x:c>
      <x:c r="F15" s="38" t="n">
        <x:f>MAX(Dashboard!$B$4,E15*C15)</x:f>
        <x:v>0.5382</x:v>
      </x:c>
      <x:c r="G15" s="42" t="n">
        <x:v>0.75</x:v>
      </x:c>
      <x:c r="H15" s="42" t="n">
        <x:v>24500</x:v>
      </x:c>
      <x:c r="I15" s="38" t="n">
        <x:f>F15*G15*H15</x:f>
        <x:v>9889.425000000001</x:v>
      </x:c>
      <x:c r="J15" s="37" t="str">
        <x:v>VND_000</x:v>
      </x:c>
      <x:c r="K15" s="38" t="n">
        <x:f>IF(J15="TRY_TIERS",IF(I15&lt;25,19,IF(I15&lt;35,29,IF(I15&lt;45,39,IF(I15&lt;60,49,79)))),
IF(J15="INR_TIERS",IF(I15&lt;40,29,IF(I15&lt;70,49,99)),
IF(J15="BRL_90",IF(I15&lt;3,2.9,IF(I15&lt;6,4.9,IF(I15&lt;10,6.9,9.9))),
IF(J15="IDR_000",ROUND(I15/1000,0)*1000,
IF(J15="JPY_00",ROUND(I15/100,0)*100,
IF(J15="KRW_000",ROUND(I15/1000,0)*1000,
IF(J15="VND_000",ROUND(I15/1000,0)*1000,
IF(OR(J15="USD_99",J15="EUR_99",J15="GBP_99",J15="CAD_99",J15="AUD_99",J15="PLN_99"),MAX(0.49,ROUND(I15,0)-0.01),
IF(J15="MXN_00",ROUND(I15,0),IF(J15="THB_00",ROUND(I15,0),ROUND(I15,2)))))))))))</x:f>
        <x:v>10000</x:v>
      </x:c>
      <x:c r="L15" s="38" t="n">
        <x:f>K15/H15</x:f>
        <x:v>0.40816326530612246</x:v>
      </x:c>
      <x:c r="M15" s="37" t="str">
        <x:f>IF(L15&lt;Dashboard!$B$4,"Below global min",IF(AND(C15&gt;=0.8,L15&lt;Dashboard!$B$5),"Raise high-PPP floor","OK"))</x:f>
        <x:v>Below global min</x:v>
      </x:c>
      <x:c r="N15" s="48" t="str">
        <x:v>=GOOGLEFINANCE("CURRENCY:USDVND")</x:v>
      </x:c>
      <x:c r="O15" s="37" t="str"/>
    </x:row>
    <x:row r="16">
      <x:c r="A16" s="37" t="str">
        <x:v>Thailand</x:v>
      </x:c>
      <x:c r="B16" s="37" t="str">
        <x:v>THB</x:v>
      </x:c>
      <x:c r="C16" s="42" t="n">
        <x:v>0.32</x:v>
      </x:c>
      <x:c r="D16" s="37" t="str">
        <x:f>IF(C16&gt;=0.8,"A",IF(C16&gt;=0.6,"B",IF(C16&gt;=0.4,"C",IF(C16&gt;=0.2,"D","E"))))</x:f>
        <x:v>D</x:v>
      </x:c>
      <x:c r="E16" s="38" t="n">
        <x:f>Dashboard!$B$3</x:f>
        <x:v>2.99</x:v>
      </x:c>
      <x:c r="F16" s="38" t="n">
        <x:f>MAX(Dashboard!$B$4,E16*C16)</x:f>
        <x:v>0.9568000000000001</x:v>
      </x:c>
      <x:c r="G16" s="42" t="n">
        <x:v>0.85</x:v>
      </x:c>
      <x:c r="H16" s="42" t="n">
        <x:v>36</x:v>
      </x:c>
      <x:c r="I16" s="38" t="n">
        <x:f>F16*G16*H16</x:f>
        <x:v>29.278080000000003</x:v>
      </x:c>
      <x:c r="J16" s="37" t="str">
        <x:v>THB_00</x:v>
      </x:c>
      <x:c r="K16" s="38" t="n">
        <x:f>IF(J16="TRY_TIERS",IF(I16&lt;25,19,IF(I16&lt;35,29,IF(I16&lt;45,39,IF(I16&lt;60,49,79)))),
IF(J16="INR_TIERS",IF(I16&lt;40,29,IF(I16&lt;70,49,99)),
IF(J16="BRL_90",IF(I16&lt;3,2.9,IF(I16&lt;6,4.9,IF(I16&lt;10,6.9,9.9))),
IF(J16="IDR_000",ROUND(I16/1000,0)*1000,
IF(J16="JPY_00",ROUND(I16/100,0)*100,
IF(J16="KRW_000",ROUND(I16/1000,0)*1000,
IF(J16="VND_000",ROUND(I16/1000,0)*1000,
IF(OR(J16="USD_99",J16="EUR_99",J16="GBP_99",J16="CAD_99",J16="AUD_99",J16="PLN_99"),MAX(0.49,ROUND(I16,0)-0.01),
IF(J16="MXN_00",ROUND(I16,0),IF(J16="THB_00",ROUND(I16,0),ROUND(I16,2)))))))))))</x:f>
        <x:v>29</x:v>
      </x:c>
      <x:c r="L16" s="38" t="n">
        <x:f>K16/H16</x:f>
        <x:v>0.8055555555555556</x:v>
      </x:c>
      <x:c r="M16" s="37" t="str">
        <x:f>IF(L16&lt;Dashboard!$B$4,"Below global min",IF(AND(C16&gt;=0.8,L16&lt;Dashboard!$B$5),"Raise high-PPP floor","OK"))</x:f>
        <x:v>OK</x:v>
      </x:c>
      <x:c r="N16" s="48" t="str">
        <x:v>=GOOGLEFINANCE("CURRENCY:USDTHB")</x:v>
      </x:c>
      <x:c r="O16" s="37" t="str"/>
    </x:row>
  </x:sheetData>
  <x:conditionalFormatting sqref="C2:C1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M2:M16">
    <x:cfRule type="expression" dxfId="0" priority="2">
      <x:formula>$M2&lt;&gt;"OK"</x:formula>
    </x:cfRule>
  </x:conditionalFormatting>
  <x:dataValidations count="1">
    <x:dataValidation type="list" sqref="J2:J100">
      <x:formula1>"USD_99,EUR_99,GBP_99,CAD_99,AUD_99,PLN_99,TRY_TIERS,INR_TIERS,BRL_90,IDR_000,JPY_00,KRW_000,VND_000,MXN_00,THB_00"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f200b6eb1c4c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45" t="str">
        <x:v>Rounding Rules / Editable Playbook</x:v>
      </x:c>
    </x:row>
    <x:row r="3">
      <x:c r="A3" s="25" t="str">
        <x:v>Group</x:v>
      </x:c>
      <x:c r="B3" s="25" t="str">
        <x:v>Currency</x:v>
      </x:c>
      <x:c r="C3" s="25" t="str">
        <x:v>Logic</x:v>
      </x:c>
      <x:c r="D3" s="25" t="str">
        <x:v>Suggested Tiers</x:v>
      </x:c>
      <x:c r="E3" s="25" t="str">
        <x:v>Edit Note</x:v>
      </x:c>
    </x:row>
    <x:row r="4">
      <x:c r="A4" s="37" t="str">
        <x:v>USD_99</x:v>
      </x:c>
      <x:c r="B4" s="37" t="str">
        <x:v>USD</x:v>
      </x:c>
      <x:c r="C4" s="37" t="str">
        <x:v>Round to x.99</x:v>
      </x:c>
      <x:c r="D4" s="37" t="str">
        <x:v>0.99 / 1.99 / 2.99 / 3.99 / 4.99</x:v>
      </x:c>
      <x:c r="E4" s="37" t="str">
        <x:v>Good for US-style pricing</x:v>
      </x:c>
    </x:row>
    <x:row r="5">
      <x:c r="A5" s="37" t="str">
        <x:v>EUR_99</x:v>
      </x:c>
      <x:c r="B5" s="37" t="str">
        <x:v>EUR</x:v>
      </x:c>
      <x:c r="C5" s="37" t="str">
        <x:v>Round to x.99</x:v>
      </x:c>
      <x:c r="D5" s="37" t="str">
        <x:v>0.99 / 1.99 / 2.99 / 3.99 / 4.99</x:v>
      </x:c>
      <x:c r="E5" s="37" t="str">
        <x:v>EU premium-friendly</x:v>
      </x:c>
    </x:row>
    <x:row r="6">
      <x:c r="A6" s="37" t="str">
        <x:v>TRY_TIERS</x:v>
      </x:c>
      <x:c r="B6" s="37" t="str">
        <x:v>TRY</x:v>
      </x:c>
      <x:c r="C6" s="37" t="str">
        <x:v>Fixed tier bucket</x:v>
      </x:c>
      <x:c r="D6" s="37" t="str">
        <x:v>19 / 29 / 39 / 49 / 79</x:v>
      </x:c>
      <x:c r="E6" s="37" t="str">
        <x:v>Test 29 vs 39 for conversion/revenue</x:v>
      </x:c>
    </x:row>
    <x:row r="7">
      <x:c r="A7" s="37" t="str">
        <x:v>INR_TIERS</x:v>
      </x:c>
      <x:c r="B7" s="37" t="str">
        <x:v>INR</x:v>
      </x:c>
      <x:c r="C7" s="37" t="str">
        <x:v>Fixed tier bucket</x:v>
      </x:c>
      <x:c r="D7" s="37" t="str">
        <x:v>29 / 49 / 99</x:v>
      </x:c>
      <x:c r="E7" s="37" t="str">
        <x:v>Volume market</x:v>
      </x:c>
    </x:row>
    <x:row r="8">
      <x:c r="A8" s="37" t="str">
        <x:v>BRL_90</x:v>
      </x:c>
      <x:c r="B8" s="37" t="str">
        <x:v>BRL</x:v>
      </x:c>
      <x:c r="C8" s="37" t="str">
        <x:v>Round to x.90</x:v>
      </x:c>
      <x:c r="D8" s="37" t="str">
        <x:v>2.90 / 4.90 / 6.90 / 9.90</x:v>
      </x:c>
      <x:c r="E8" s="37" t="str"/>
    </x:row>
    <x:row r="9">
      <x:c r="A9" s="37" t="str">
        <x:v>IDR_000</x:v>
      </x:c>
      <x:c r="B9" s="37" t="str">
        <x:v>IDR</x:v>
      </x:c>
      <x:c r="C9" s="37" t="str">
        <x:v>Nearest 1,000</x:v>
      </x:c>
      <x:c r="D9" s="37" t="str">
        <x:v>9,000 / 15,000 / 29,000</x:v>
      </x:c>
      <x:c r="E9" s="37" t="str"/>
    </x:row>
    <x:row r="10">
      <x:c r="A10" s="37" t="str">
        <x:v>JPY_00</x:v>
      </x:c>
      <x:c r="B10" s="37" t="str">
        <x:v>JPY</x:v>
      </x:c>
      <x:c r="C10" s="37" t="str">
        <x:v>Nearest 100</x:v>
      </x:c>
      <x:c r="D10" s="37" t="str">
        <x:v>100 / 200 / 300 / 500</x:v>
      </x:c>
      <x:c r="E10" s="37" t="str"/>
    </x:row>
    <x:row r="11">
      <x:c r="A11" s="37" t="str">
        <x:v>KRW_000</x:v>
      </x:c>
      <x:c r="B11" s="37" t="str">
        <x:v>KRW</x:v>
      </x:c>
      <x:c r="C11" s="37" t="str">
        <x:v>Nearest 1,000</x:v>
      </x:c>
      <x:c r="D11" s="37" t="str">
        <x:v>1,000 / 2,000 / 3,000 / 5,000</x:v>
      </x:c>
      <x:c r="E11" s="37" t="str"/>
    </x:row>
    <x:row r="12">
      <x:c r="A12" s="37" t="str">
        <x:v>VND_000</x:v>
      </x:c>
      <x:c r="B12" s="37" t="str">
        <x:v>VND</x:v>
      </x:c>
      <x:c r="C12" s="37" t="str">
        <x:v>Nearest 1,000</x:v>
      </x:c>
      <x:c r="D12" s="37" t="str">
        <x:v>10,000 / 20,000 / 30,000</x:v>
      </x:c>
      <x:c r="E12" s="37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e5f10d65de40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45" t="str">
        <x:v>Source Notes / References</x:v>
      </x:c>
    </x:row>
    <x:row r="3">
      <x:c r="A3" s="25" t="str">
        <x:v>Input</x:v>
      </x:c>
      <x:c r="B3" s="25" t="str">
        <x:v>Purpose</x:v>
      </x:c>
      <x:c r="C3" s="25" t="str">
        <x:v>Source / URL</x:v>
      </x:c>
      <x:c r="D3" s="25" t="str">
        <x:v>Refresh Cadence</x:v>
      </x:c>
      <x:c r="E3" s="25" t="str">
        <x:v>Notes</x:v>
      </x:c>
    </x:row>
    <x:row r="4">
      <x:c r="A4" s="37" t="str">
        <x:v>PPP factor</x:v>
      </x:c>
      <x:c r="B4" s="37" t="str">
        <x:v>Relative local affordability input</x:v>
      </x:c>
      <x:c r="C4" s="37" t="str">
        <x:v>https://data.worldbank.org/indicator/PA.NUS.PPP</x:v>
      </x:c>
      <x:c r="D4" s="37" t="str">
        <x:v>Quarterly or before price updates</x:v>
      </x:c>
      <x:c r="E4" s="37" t="str">
        <x:v>Template values are starter estimates; replace with your chosen normalized PPP factors.</x:v>
      </x:c>
    </x:row>
    <x:row r="5">
      <x:c r="A5" s="37" t="str">
        <x:v>FX rate</x:v>
      </x:c>
      <x:c r="B5" s="37" t="str">
        <x:v>Convert USD to local currency</x:v>
      </x:c>
      <x:c r="C5" s="37" t="str">
        <x:v>https://www.google.com/finance/</x:v>
      </x:c>
      <x:c r="D5" s="37" t="str">
        <x:v>Before Play Console update</x:v>
      </x:c>
      <x:c r="E5" s="37" t="str">
        <x:v>In Google Sheets, use GOOGLEFINANCE formulas copied from PricingModel column N.</x:v>
      </x:c>
    </x:row>
    <x:row r="6">
      <x:c r="A6" s="37" t="str">
        <x:v>Google Play pricing</x:v>
      </x:c>
      <x:c r="B6" s="37" t="str">
        <x:v>Check supported local prices and taxes</x:v>
      </x:c>
      <x:c r="C6" s="37" t="str">
        <x:v>https://support.google.com/googleplay/android-developer/</x:v>
      </x:c>
      <x:c r="D6" s="37" t="str">
        <x:v>Before launch and major updates</x:v>
      </x:c>
      <x:c r="E6" s="37" t="str">
        <x:v>Play Console final local prices may differ due to tax/minimum price constraints.</x:v>
      </x:c>
    </x:row>
    <x:row r="7">
      <x:c r="A7" s="37" t="str">
        <x:v>Competitor pricing</x:v>
      </x:c>
      <x:c r="B7" s="37" t="str">
        <x:v>Market adjustment sanity check</x:v>
      </x:c>
      <x:c r="C7" s="37" t="str">
        <x:v>Manual Play Store research</x:v>
      </x:c>
      <x:c r="D7" s="37" t="str">
        <x:v>Before launch</x:v>
      </x:c>
      <x:c r="E7" s="37" t="str">
        <x:v>Use Market Adj column to shift price after checking similar apps.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bbb5046830e4d1e"/>
  </x:tableParts>
</x:worksheet>
</file>