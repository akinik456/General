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ricingModel" sheetId="2" r:id="rId6"/>
    <sheet state="visible" name="countries" sheetId="3" r:id="rId7"/>
    <sheet state="visible" name="PriceLast" sheetId="4" r:id="rId8"/>
    <sheet state="visible" name="RoundingRules" sheetId="5" r:id="rId9"/>
    <sheet state="visible" name="SourceNotes" sheetId="6" r:id="rId10"/>
    <sheet state="visible" name="AB_TEST" sheetId="7" r:id="rId11"/>
    <sheet state="visible" name="AB_Dashboard" sheetId="8" r:id="rId12"/>
    <sheet state="visible" name="AB_Setup" sheetId="9" r:id="rId13"/>
  </sheets>
  <definedNames/>
  <calcPr/>
</workbook>
</file>

<file path=xl/sharedStrings.xml><?xml version="1.0" encoding="utf-8"?>
<sst xmlns="http://schemas.openxmlformats.org/spreadsheetml/2006/main" count="2091" uniqueCount="868">
  <si>
    <t>Play Store PPP Pricing Template</t>
  </si>
  <si>
    <t>Base Price USD</t>
  </si>
  <si>
    <t>Global Min USD</t>
  </si>
  <si>
    <t>High PPP Floor USD</t>
  </si>
  <si>
    <t>Default Market Adj</t>
  </si>
  <si>
    <t>Default FX Source</t>
  </si>
  <si>
    <t>Manual / Google Sheets formula</t>
  </si>
  <si>
    <t>Last Updated</t>
  </si>
  <si>
    <t>2026-05-01</t>
  </si>
  <si>
    <t>Notes</t>
  </si>
  <si>
    <t>Edit yellow cells only. Final price uses PPP + Market Adj + FX + rounding rules.</t>
  </si>
  <si>
    <t>Output Sheet</t>
  </si>
  <si>
    <t>PricingModel</t>
  </si>
  <si>
    <t>How to use</t>
  </si>
  <si>
    <t>1) Set Base Price USD in B3</t>
  </si>
  <si>
    <t>2) Edit PPP/Market Adj/FX in PricingModel</t>
  </si>
  <si>
    <t>3) Check Final Rounded Local Price</t>
  </si>
  <si>
    <t>4) Enter prices manually in Play Console</t>
  </si>
  <si>
    <t>Tier</t>
  </si>
  <si>
    <t>PPP Range</t>
  </si>
  <si>
    <t>Strategy</t>
  </si>
  <si>
    <t>Typical Use</t>
  </si>
  <si>
    <t>A</t>
  </si>
  <si>
    <t>0.80 - 1.00</t>
  </si>
  <si>
    <t>Premium / near full price</t>
  </si>
  <si>
    <t>US, wealthier EU</t>
  </si>
  <si>
    <t>B</t>
  </si>
  <si>
    <t>0.60 - 0.79</t>
  </si>
  <si>
    <t>Slight discount</t>
  </si>
  <si>
    <t>Strong purchasing power</t>
  </si>
  <si>
    <t>C</t>
  </si>
  <si>
    <t>0.40 - 0.59</t>
  </si>
  <si>
    <t>Mid discount</t>
  </si>
  <si>
    <t>Balanced conversion/revenue</t>
  </si>
  <si>
    <t>D/E</t>
  </si>
  <si>
    <t>0.10 - 0.39</t>
  </si>
  <si>
    <t>Aggressive local price</t>
  </si>
  <si>
    <t>Volume markets</t>
  </si>
  <si>
    <t>1. sütun</t>
  </si>
  <si>
    <t>Country</t>
  </si>
  <si>
    <t>Country Code</t>
  </si>
  <si>
    <t>Currency</t>
  </si>
  <si>
    <t>PPP Factor</t>
  </si>
  <si>
    <t>Base USD</t>
  </si>
  <si>
    <t>PPP Price USD</t>
  </si>
  <si>
    <t>Market Adj</t>
  </si>
  <si>
    <t>FX USD→Local</t>
  </si>
  <si>
    <t>Raw Local Price</t>
  </si>
  <si>
    <t>Rounding Group</t>
  </si>
  <si>
    <t>Final Rounded Local</t>
  </si>
  <si>
    <t>Final USD Approx</t>
  </si>
  <si>
    <t>Recommended Action</t>
  </si>
  <si>
    <t>FX Formula for Google Sheets</t>
  </si>
  <si>
    <t>Arnavutluk</t>
  </si>
  <si>
    <t>Albania</t>
  </si>
  <si>
    <t>AL</t>
  </si>
  <si>
    <t>ALL</t>
  </si>
  <si>
    <t>D</t>
  </si>
  <si>
    <t>TRY_TIERS</t>
  </si>
  <si>
    <t>Cezayir</t>
  </si>
  <si>
    <t>Algeria</t>
  </si>
  <si>
    <t>DZ</t>
  </si>
  <si>
    <t>DZD</t>
  </si>
  <si>
    <t>Angola</t>
  </si>
  <si>
    <t>AO</t>
  </si>
  <si>
    <t>AOA</t>
  </si>
  <si>
    <t>E</t>
  </si>
  <si>
    <t>THB_00</t>
  </si>
  <si>
    <t>Antigua ve Barbuda</t>
  </si>
  <si>
    <t>Antigua and Barbuda</t>
  </si>
  <si>
    <t>AG</t>
  </si>
  <si>
    <t>XCD</t>
  </si>
  <si>
    <t>USD_99</t>
  </si>
  <si>
    <t>Arjantin</t>
  </si>
  <si>
    <t>Argentina</t>
  </si>
  <si>
    <t>AR</t>
  </si>
  <si>
    <t>ARS</t>
  </si>
  <si>
    <t>Ermenistan</t>
  </si>
  <si>
    <t>Armenia</t>
  </si>
  <si>
    <t>AM</t>
  </si>
  <si>
    <t>AMD</t>
  </si>
  <si>
    <t>Aruba</t>
  </si>
  <si>
    <t>AW</t>
  </si>
  <si>
    <t>AWG</t>
  </si>
  <si>
    <t>PLN_99</t>
  </si>
  <si>
    <t>Avustralya</t>
  </si>
  <si>
    <t>Australia</t>
  </si>
  <si>
    <t>AU</t>
  </si>
  <si>
    <t>AUD</t>
  </si>
  <si>
    <t>AUD_99</t>
  </si>
  <si>
    <t>Avusturya</t>
  </si>
  <si>
    <t>Austria</t>
  </si>
  <si>
    <t>AT</t>
  </si>
  <si>
    <t>EUR</t>
  </si>
  <si>
    <t>Azerbaycan</t>
  </si>
  <si>
    <t>Azerbaijan</t>
  </si>
  <si>
    <t>AZ</t>
  </si>
  <si>
    <t>AZN</t>
  </si>
  <si>
    <t>Bahamalar</t>
  </si>
  <si>
    <t>Bahamas</t>
  </si>
  <si>
    <t>BS</t>
  </si>
  <si>
    <t>BSD</t>
  </si>
  <si>
    <t>Bahreyn</t>
  </si>
  <si>
    <t>Bahrain</t>
  </si>
  <si>
    <t>BH</t>
  </si>
  <si>
    <t>BHD</t>
  </si>
  <si>
    <t>Bangladeş</t>
  </si>
  <si>
    <t>Bangladesh</t>
  </si>
  <si>
    <t>BD</t>
  </si>
  <si>
    <t>BDT</t>
  </si>
  <si>
    <t>Belarus</t>
  </si>
  <si>
    <t>BY</t>
  </si>
  <si>
    <t>BYN</t>
  </si>
  <si>
    <t>Belçika</t>
  </si>
  <si>
    <t>Belgium</t>
  </si>
  <si>
    <t>BE</t>
  </si>
  <si>
    <t>Belize</t>
  </si>
  <si>
    <t>BZ</t>
  </si>
  <si>
    <t>BZD</t>
  </si>
  <si>
    <t>Benin</t>
  </si>
  <si>
    <t>BJ</t>
  </si>
  <si>
    <t>XOF</t>
  </si>
  <si>
    <t>Bermuda</t>
  </si>
  <si>
    <t>BM</t>
  </si>
  <si>
    <t>BMD</t>
  </si>
  <si>
    <t>Bolivya</t>
  </si>
  <si>
    <t>Bolivia</t>
  </si>
  <si>
    <t>BO</t>
  </si>
  <si>
    <t>BOB-BOV</t>
  </si>
  <si>
    <t>Bosna-Hersek</t>
  </si>
  <si>
    <t xml:space="preserve">Bosnia and Herzegovina </t>
  </si>
  <si>
    <t>BA</t>
  </si>
  <si>
    <t>BAM</t>
  </si>
  <si>
    <t>Botsvana</t>
  </si>
  <si>
    <t>Botswana</t>
  </si>
  <si>
    <t>BW</t>
  </si>
  <si>
    <t>BWP</t>
  </si>
  <si>
    <t>Brezilya</t>
  </si>
  <si>
    <t>Brazil</t>
  </si>
  <si>
    <t>BR</t>
  </si>
  <si>
    <t>BRL</t>
  </si>
  <si>
    <t>BRL_90</t>
  </si>
  <si>
    <t>Bulgaristan</t>
  </si>
  <si>
    <t>Bulgaria</t>
  </si>
  <si>
    <t>BG</t>
  </si>
  <si>
    <t>BGN</t>
  </si>
  <si>
    <t>Burkina Faso</t>
  </si>
  <si>
    <t>BF</t>
  </si>
  <si>
    <t>Cabo Verde</t>
  </si>
  <si>
    <t>CV</t>
  </si>
  <si>
    <t>CVE</t>
  </si>
  <si>
    <t>Kamboçya</t>
  </si>
  <si>
    <t>Cambodia</t>
  </si>
  <si>
    <t>KH</t>
  </si>
  <si>
    <t>KHR</t>
  </si>
  <si>
    <t>Kamerun</t>
  </si>
  <si>
    <t>Cameroon</t>
  </si>
  <si>
    <t>CM</t>
  </si>
  <si>
    <t>XAF</t>
  </si>
  <si>
    <t>Kanada</t>
  </si>
  <si>
    <t>Canada</t>
  </si>
  <si>
    <t>CA</t>
  </si>
  <si>
    <t>CAD</t>
  </si>
  <si>
    <t>CAD_99</t>
  </si>
  <si>
    <t>Cayman Adaları</t>
  </si>
  <si>
    <t>Cayman Islands</t>
  </si>
  <si>
    <t>KY</t>
  </si>
  <si>
    <t>KYD</t>
  </si>
  <si>
    <t>Orta Afrika Cumhuriyeti</t>
  </si>
  <si>
    <t xml:space="preserve">Central African Republic </t>
  </si>
  <si>
    <t>CF</t>
  </si>
  <si>
    <t>Çad</t>
  </si>
  <si>
    <t>Chad</t>
  </si>
  <si>
    <t>TD</t>
  </si>
  <si>
    <t>Şili</t>
  </si>
  <si>
    <t>Chile</t>
  </si>
  <si>
    <t>CL</t>
  </si>
  <si>
    <t>CLP</t>
  </si>
  <si>
    <t>Kolombiya</t>
  </si>
  <si>
    <t>Colombia</t>
  </si>
  <si>
    <t>CO</t>
  </si>
  <si>
    <t>COP-COU</t>
  </si>
  <si>
    <t>Komorlar</t>
  </si>
  <si>
    <t>Comoros</t>
  </si>
  <si>
    <t>KM</t>
  </si>
  <si>
    <t>KMF</t>
  </si>
  <si>
    <t>Kongo-Brazavil</t>
  </si>
  <si>
    <t>Congo</t>
  </si>
  <si>
    <t>CG</t>
  </si>
  <si>
    <t>Kongo-Kinşasa</t>
  </si>
  <si>
    <t xml:space="preserve">Congo (the Democratic Republic of the) </t>
  </si>
  <si>
    <t>CD</t>
  </si>
  <si>
    <t>CDF</t>
  </si>
  <si>
    <t>KostaRika</t>
  </si>
  <si>
    <t>Costa Rica</t>
  </si>
  <si>
    <t>CR</t>
  </si>
  <si>
    <t>CRC</t>
  </si>
  <si>
    <t xml:space="preserve">Côte d’Ivoire </t>
  </si>
  <si>
    <t>CI</t>
  </si>
  <si>
    <t>Hırvatistan</t>
  </si>
  <si>
    <t>Croaita</t>
  </si>
  <si>
    <t>HR</t>
  </si>
  <si>
    <t>Kıbrıs</t>
  </si>
  <si>
    <t>Cyprus</t>
  </si>
  <si>
    <t>CY</t>
  </si>
  <si>
    <t>Çekya</t>
  </si>
  <si>
    <t xml:space="preserve">czechia </t>
  </si>
  <si>
    <t>CZ</t>
  </si>
  <si>
    <t>CZK</t>
  </si>
  <si>
    <t>Danimarka</t>
  </si>
  <si>
    <t>Denmark</t>
  </si>
  <si>
    <t>DK</t>
  </si>
  <si>
    <t>DKK</t>
  </si>
  <si>
    <t>Cibuti</t>
  </si>
  <si>
    <t>Djibouti</t>
  </si>
  <si>
    <t>DJ</t>
  </si>
  <si>
    <t>DJF</t>
  </si>
  <si>
    <t>Dominika</t>
  </si>
  <si>
    <t>Dominica</t>
  </si>
  <si>
    <t>DO</t>
  </si>
  <si>
    <t>Dominik Cumhuriyeti</t>
  </si>
  <si>
    <t>Dominican Republic</t>
  </si>
  <si>
    <t>DOP</t>
  </si>
  <si>
    <t>Ekvador</t>
  </si>
  <si>
    <t>Ecuador</t>
  </si>
  <si>
    <t>EC</t>
  </si>
  <si>
    <t>USD</t>
  </si>
  <si>
    <t>Mısır</t>
  </si>
  <si>
    <t xml:space="preserve">Egypt </t>
  </si>
  <si>
    <t>EG</t>
  </si>
  <si>
    <t>EGP</t>
  </si>
  <si>
    <t>El Salvador</t>
  </si>
  <si>
    <t>SV</t>
  </si>
  <si>
    <t>SVC-USD</t>
  </si>
  <si>
    <t>Eritre</t>
  </si>
  <si>
    <t>Eritrea</t>
  </si>
  <si>
    <t>ER</t>
  </si>
  <si>
    <t>ERN</t>
  </si>
  <si>
    <t>Estonya</t>
  </si>
  <si>
    <t>Estonia</t>
  </si>
  <si>
    <t>EE</t>
  </si>
  <si>
    <t>Fiji</t>
  </si>
  <si>
    <t>FJ</t>
  </si>
  <si>
    <t>FJD</t>
  </si>
  <si>
    <t>Finlandiya</t>
  </si>
  <si>
    <t>Finland</t>
  </si>
  <si>
    <t>FI</t>
  </si>
  <si>
    <t>Fransa</t>
  </si>
  <si>
    <t>France</t>
  </si>
  <si>
    <t>FR</t>
  </si>
  <si>
    <t>Gabon</t>
  </si>
  <si>
    <t>GA</t>
  </si>
  <si>
    <t>Gambiya</t>
  </si>
  <si>
    <t>Gambia</t>
  </si>
  <si>
    <t>GM</t>
  </si>
  <si>
    <t>GMD</t>
  </si>
  <si>
    <t>Gürcistan</t>
  </si>
  <si>
    <t>Georgia</t>
  </si>
  <si>
    <t>GE</t>
  </si>
  <si>
    <t>GEL</t>
  </si>
  <si>
    <t>Almanya</t>
  </si>
  <si>
    <t>Germany</t>
  </si>
  <si>
    <t>DE</t>
  </si>
  <si>
    <t>EUR_99</t>
  </si>
  <si>
    <t>EU premium market</t>
  </si>
  <si>
    <t>Gana</t>
  </si>
  <si>
    <t>Ghana</t>
  </si>
  <si>
    <t>GH</t>
  </si>
  <si>
    <t>GHS</t>
  </si>
  <si>
    <t>Cebelitarık</t>
  </si>
  <si>
    <t>Gibraltar</t>
  </si>
  <si>
    <t>GI</t>
  </si>
  <si>
    <t>GIP</t>
  </si>
  <si>
    <t>Yunanistan</t>
  </si>
  <si>
    <t>Greece</t>
  </si>
  <si>
    <t>GR</t>
  </si>
  <si>
    <t>Grenada</t>
  </si>
  <si>
    <t>GD</t>
  </si>
  <si>
    <t>Guatemala</t>
  </si>
  <si>
    <t>GT</t>
  </si>
  <si>
    <t>GTQ</t>
  </si>
  <si>
    <t>Gine</t>
  </si>
  <si>
    <t>Guinea</t>
  </si>
  <si>
    <t>GN</t>
  </si>
  <si>
    <t>GNF</t>
  </si>
  <si>
    <t>Gine-Bissau</t>
  </si>
  <si>
    <t xml:space="preserve">Guinea-Bissau </t>
  </si>
  <si>
    <t>GW</t>
  </si>
  <si>
    <t>Haiti</t>
  </si>
  <si>
    <t>HT</t>
  </si>
  <si>
    <t>HTG</t>
  </si>
  <si>
    <t>Honduras</t>
  </si>
  <si>
    <t>HN</t>
  </si>
  <si>
    <t>HNL</t>
  </si>
  <si>
    <t>HongKong</t>
  </si>
  <si>
    <t>HK</t>
  </si>
  <si>
    <t>HKD</t>
  </si>
  <si>
    <t>Macaristan</t>
  </si>
  <si>
    <t xml:space="preserve">Hungary </t>
  </si>
  <si>
    <t>HU</t>
  </si>
  <si>
    <t>HUF</t>
  </si>
  <si>
    <t>İzlanda</t>
  </si>
  <si>
    <t xml:space="preserve">Iceland </t>
  </si>
  <si>
    <t>IS</t>
  </si>
  <si>
    <t>ISK</t>
  </si>
  <si>
    <t>Hindistan</t>
  </si>
  <si>
    <t>India</t>
  </si>
  <si>
    <t>IN</t>
  </si>
  <si>
    <t>INR</t>
  </si>
  <si>
    <t>INR_TIERS</t>
  </si>
  <si>
    <t>Volume market</t>
  </si>
  <si>
    <t>Endonezya</t>
  </si>
  <si>
    <t>Indonesia</t>
  </si>
  <si>
    <t>ID</t>
  </si>
  <si>
    <t>IDR</t>
  </si>
  <si>
    <t>IDR_000</t>
  </si>
  <si>
    <t>Irak</t>
  </si>
  <si>
    <t>Iraq</t>
  </si>
  <si>
    <t>IQ</t>
  </si>
  <si>
    <t>IQD</t>
  </si>
  <si>
    <t>İrlanda</t>
  </si>
  <si>
    <t>Ireland</t>
  </si>
  <si>
    <t>IE</t>
  </si>
  <si>
    <t>İsrail</t>
  </si>
  <si>
    <t>Israel</t>
  </si>
  <si>
    <t>IL</t>
  </si>
  <si>
    <t>ILS</t>
  </si>
  <si>
    <t>İtalya</t>
  </si>
  <si>
    <t>Italy</t>
  </si>
  <si>
    <t>IT</t>
  </si>
  <si>
    <t>Jamaika</t>
  </si>
  <si>
    <t>Jamaica</t>
  </si>
  <si>
    <t>JM</t>
  </si>
  <si>
    <t>JMD</t>
  </si>
  <si>
    <t>Japonya</t>
  </si>
  <si>
    <t>Japan</t>
  </si>
  <si>
    <t>JP</t>
  </si>
  <si>
    <t>JPY</t>
  </si>
  <si>
    <t>JPY_00</t>
  </si>
  <si>
    <t>Ürdün</t>
  </si>
  <si>
    <t>Jordan</t>
  </si>
  <si>
    <t>JO</t>
  </si>
  <si>
    <t>JOD</t>
  </si>
  <si>
    <t>Kazakistan</t>
  </si>
  <si>
    <t xml:space="preserve">Kazakhstan </t>
  </si>
  <si>
    <t>KZ</t>
  </si>
  <si>
    <t>KZT</t>
  </si>
  <si>
    <t>Kenya</t>
  </si>
  <si>
    <t>KE</t>
  </si>
  <si>
    <t>KES</t>
  </si>
  <si>
    <t>Kuveyt</t>
  </si>
  <si>
    <t>Kuwait</t>
  </si>
  <si>
    <t>KW</t>
  </si>
  <si>
    <t>KWD</t>
  </si>
  <si>
    <t>Kırgızistan</t>
  </si>
  <si>
    <t xml:space="preserve">Kyrgyzstan </t>
  </si>
  <si>
    <t>KG</t>
  </si>
  <si>
    <t>KGS</t>
  </si>
  <si>
    <t>Laos</t>
  </si>
  <si>
    <t xml:space="preserve">Lao People's Democratic Republic  </t>
  </si>
  <si>
    <t>LA</t>
  </si>
  <si>
    <t>LAK</t>
  </si>
  <si>
    <t>Letonya</t>
  </si>
  <si>
    <t>Latvia</t>
  </si>
  <si>
    <t>LV</t>
  </si>
  <si>
    <t>Lübnan</t>
  </si>
  <si>
    <t xml:space="preserve">Lebanon </t>
  </si>
  <si>
    <t>LB</t>
  </si>
  <si>
    <t>LBP</t>
  </si>
  <si>
    <t>Liberya</t>
  </si>
  <si>
    <t>Liberia</t>
  </si>
  <si>
    <t>LR</t>
  </si>
  <si>
    <t>LRD</t>
  </si>
  <si>
    <t>Libya</t>
  </si>
  <si>
    <t>LY</t>
  </si>
  <si>
    <t>LYD</t>
  </si>
  <si>
    <t>Liechtenstan</t>
  </si>
  <si>
    <t xml:space="preserve">Liechtenstein </t>
  </si>
  <si>
    <t>LI</t>
  </si>
  <si>
    <t>CHF</t>
  </si>
  <si>
    <t>Litvanya</t>
  </si>
  <si>
    <t xml:space="preserve">Lithuania </t>
  </si>
  <si>
    <t>LT</t>
  </si>
  <si>
    <t>Lüksemburg</t>
  </si>
  <si>
    <t xml:space="preserve">Luxembourg </t>
  </si>
  <si>
    <t>LU</t>
  </si>
  <si>
    <t>Makao</t>
  </si>
  <si>
    <t xml:space="preserve">Macao </t>
  </si>
  <si>
    <t>MO</t>
  </si>
  <si>
    <t>MOP</t>
  </si>
  <si>
    <t>Malezya</t>
  </si>
  <si>
    <t xml:space="preserve">Malaysia </t>
  </si>
  <si>
    <t>MY</t>
  </si>
  <si>
    <t>MYR</t>
  </si>
  <si>
    <t>Maldivler</t>
  </si>
  <si>
    <t xml:space="preserve">Maldives </t>
  </si>
  <si>
    <t>MV</t>
  </si>
  <si>
    <t>MVR</t>
  </si>
  <si>
    <t>Mali</t>
  </si>
  <si>
    <t>ML</t>
  </si>
  <si>
    <t>Malta</t>
  </si>
  <si>
    <t>MT</t>
  </si>
  <si>
    <t>Mauritius</t>
  </si>
  <si>
    <t xml:space="preserve">Mauritius </t>
  </si>
  <si>
    <t>MU</t>
  </si>
  <si>
    <t>MUR</t>
  </si>
  <si>
    <t>Meksika</t>
  </si>
  <si>
    <t>Mexico</t>
  </si>
  <si>
    <t>MX</t>
  </si>
  <si>
    <t>MXN</t>
  </si>
  <si>
    <t>MXN_00</t>
  </si>
  <si>
    <t>Mikronezya</t>
  </si>
  <si>
    <t xml:space="preserve">Micronesia (Federated States of) </t>
  </si>
  <si>
    <t>FM</t>
  </si>
  <si>
    <t>Moldova</t>
  </si>
  <si>
    <t xml:space="preserve">Moldova (the Republic of) </t>
  </si>
  <si>
    <t>MD</t>
  </si>
  <si>
    <t>MDL</t>
  </si>
  <si>
    <t>Monako</t>
  </si>
  <si>
    <t xml:space="preserve">Monaco </t>
  </si>
  <si>
    <t>MC</t>
  </si>
  <si>
    <t>Moğolistan</t>
  </si>
  <si>
    <t xml:space="preserve">Mongolia </t>
  </si>
  <si>
    <t>MN</t>
  </si>
  <si>
    <t>MNT</t>
  </si>
  <si>
    <t>Fas</t>
  </si>
  <si>
    <t>Morocco</t>
  </si>
  <si>
    <t>MA</t>
  </si>
  <si>
    <t>MAD</t>
  </si>
  <si>
    <t>Mozambik</t>
  </si>
  <si>
    <t xml:space="preserve">Mozambique </t>
  </si>
  <si>
    <t>MZ</t>
  </si>
  <si>
    <t>MZN</t>
  </si>
  <si>
    <t>Myanmar(Burma)</t>
  </si>
  <si>
    <t xml:space="preserve">Myanmar </t>
  </si>
  <si>
    <t>MM</t>
  </si>
  <si>
    <t>MMK</t>
  </si>
  <si>
    <t>Namibya</t>
  </si>
  <si>
    <t xml:space="preserve">Namibia </t>
  </si>
  <si>
    <t>NA</t>
  </si>
  <si>
    <t>NAD-ZAR</t>
  </si>
  <si>
    <t>Nepal</t>
  </si>
  <si>
    <t>NP</t>
  </si>
  <si>
    <t>NPR</t>
  </si>
  <si>
    <t>Hollanda</t>
  </si>
  <si>
    <t xml:space="preserve">Netherlands </t>
  </si>
  <si>
    <t>NL</t>
  </si>
  <si>
    <t>YeniZelanda</t>
  </si>
  <si>
    <t xml:space="preserve">New Zealand </t>
  </si>
  <si>
    <t>NZ</t>
  </si>
  <si>
    <t>NZD</t>
  </si>
  <si>
    <t>Nikaragua</t>
  </si>
  <si>
    <t xml:space="preserve">Nicaragua </t>
  </si>
  <si>
    <t>NI</t>
  </si>
  <si>
    <t>NIO</t>
  </si>
  <si>
    <t>Nijer</t>
  </si>
  <si>
    <t>Niger</t>
  </si>
  <si>
    <t>NE</t>
  </si>
  <si>
    <t>Nijerya</t>
  </si>
  <si>
    <t>Nigeria</t>
  </si>
  <si>
    <t>NG</t>
  </si>
  <si>
    <t>NGN</t>
  </si>
  <si>
    <t>Norveç</t>
  </si>
  <si>
    <t xml:space="preserve">Norway </t>
  </si>
  <si>
    <t>NO</t>
  </si>
  <si>
    <t>NOK</t>
  </si>
  <si>
    <t>Umman</t>
  </si>
  <si>
    <t>Oman</t>
  </si>
  <si>
    <t>OM</t>
  </si>
  <si>
    <t>OMR</t>
  </si>
  <si>
    <t>Pakistan</t>
  </si>
  <si>
    <t xml:space="preserve">Pakistan </t>
  </si>
  <si>
    <t>PK</t>
  </si>
  <si>
    <t>PKR</t>
  </si>
  <si>
    <t>Panama</t>
  </si>
  <si>
    <t>PA</t>
  </si>
  <si>
    <t>PAB</t>
  </si>
  <si>
    <t>Papua Yeni Gine</t>
  </si>
  <si>
    <t xml:space="preserve">Papua New Guinea </t>
  </si>
  <si>
    <t>PG</t>
  </si>
  <si>
    <t>PGK</t>
  </si>
  <si>
    <t>Paraguay</t>
  </si>
  <si>
    <t>PY</t>
  </si>
  <si>
    <t>PYG</t>
  </si>
  <si>
    <t>Peru</t>
  </si>
  <si>
    <t>PE</t>
  </si>
  <si>
    <t>PEN</t>
  </si>
  <si>
    <t>Filipinler</t>
  </si>
  <si>
    <t xml:space="preserve">Philippines  </t>
  </si>
  <si>
    <t>PH</t>
  </si>
  <si>
    <t>PHP</t>
  </si>
  <si>
    <t>Polonya</t>
  </si>
  <si>
    <t>Poland</t>
  </si>
  <si>
    <t>PL</t>
  </si>
  <si>
    <t>PLN</t>
  </si>
  <si>
    <t>Portekiz</t>
  </si>
  <si>
    <t xml:space="preserve">Portugal </t>
  </si>
  <si>
    <t>PT</t>
  </si>
  <si>
    <t>Katar</t>
  </si>
  <si>
    <t>Qatar</t>
  </si>
  <si>
    <t>QA</t>
  </si>
  <si>
    <t>QAR</t>
  </si>
  <si>
    <t>Kuzey Makedonya</t>
  </si>
  <si>
    <t xml:space="preserve">Republic of North Macedonia </t>
  </si>
  <si>
    <t>MK</t>
  </si>
  <si>
    <t>MKD</t>
  </si>
  <si>
    <t>Romanya</t>
  </si>
  <si>
    <t xml:space="preserve">Romania </t>
  </si>
  <si>
    <t>RO</t>
  </si>
  <si>
    <t>RON</t>
  </si>
  <si>
    <t>Rusya</t>
  </si>
  <si>
    <t xml:space="preserve">Russian Federation </t>
  </si>
  <si>
    <t>RU</t>
  </si>
  <si>
    <t>RUB</t>
  </si>
  <si>
    <t>Ruanda</t>
  </si>
  <si>
    <t xml:space="preserve">Rwanda </t>
  </si>
  <si>
    <t>RW</t>
  </si>
  <si>
    <t>RWF</t>
  </si>
  <si>
    <t>Saint Kitts ve Nevis</t>
  </si>
  <si>
    <t xml:space="preserve">Saint Kitts and Nevis </t>
  </si>
  <si>
    <t>KN</t>
  </si>
  <si>
    <t>Saint Lucia</t>
  </si>
  <si>
    <t xml:space="preserve">Saint Lucia </t>
  </si>
  <si>
    <t>LC</t>
  </si>
  <si>
    <t>Samoa</t>
  </si>
  <si>
    <t>WS</t>
  </si>
  <si>
    <t>WST</t>
  </si>
  <si>
    <t>San Marino</t>
  </si>
  <si>
    <t xml:space="preserve">San Marino </t>
  </si>
  <si>
    <t>SM</t>
  </si>
  <si>
    <t>Suudi Arabistan</t>
  </si>
  <si>
    <t xml:space="preserve">Saudi Arabia </t>
  </si>
  <si>
    <t>SA</t>
  </si>
  <si>
    <t>SAR</t>
  </si>
  <si>
    <t>Senegal</t>
  </si>
  <si>
    <t xml:space="preserve">Senegal </t>
  </si>
  <si>
    <t>SN</t>
  </si>
  <si>
    <t>Sırbistan</t>
  </si>
  <si>
    <t>Serbia</t>
  </si>
  <si>
    <t>RS</t>
  </si>
  <si>
    <t>RSD</t>
  </si>
  <si>
    <t>Seyşeller</t>
  </si>
  <si>
    <t xml:space="preserve">Seychelles </t>
  </si>
  <si>
    <t>SC</t>
  </si>
  <si>
    <t>SCR</t>
  </si>
  <si>
    <t>Sierra Leone</t>
  </si>
  <si>
    <t xml:space="preserve">Sierra Leone </t>
  </si>
  <si>
    <t>SL</t>
  </si>
  <si>
    <t>SLE</t>
  </si>
  <si>
    <t>Singapur</t>
  </si>
  <si>
    <t xml:space="preserve">Singapore </t>
  </si>
  <si>
    <t>SG</t>
  </si>
  <si>
    <t>SGD</t>
  </si>
  <si>
    <t>Slovakya</t>
  </si>
  <si>
    <t xml:space="preserve">Slovakia </t>
  </si>
  <si>
    <t>SK</t>
  </si>
  <si>
    <t>Slovenya</t>
  </si>
  <si>
    <t xml:space="preserve">Slovenia </t>
  </si>
  <si>
    <t>SI</t>
  </si>
  <si>
    <t>Solomon Adaları</t>
  </si>
  <si>
    <t xml:space="preserve">Solomon Islands </t>
  </si>
  <si>
    <t>SB</t>
  </si>
  <si>
    <t>SBD</t>
  </si>
  <si>
    <t>Somali</t>
  </si>
  <si>
    <t xml:space="preserve">Somalia </t>
  </si>
  <si>
    <t>SO</t>
  </si>
  <si>
    <t>SOS</t>
  </si>
  <si>
    <t>Güney Afrika</t>
  </si>
  <si>
    <t>South Africa</t>
  </si>
  <si>
    <t>ZA</t>
  </si>
  <si>
    <t>ZAR</t>
  </si>
  <si>
    <t>Güney Kore</t>
  </si>
  <si>
    <t>South Korea</t>
  </si>
  <si>
    <t>KR</t>
  </si>
  <si>
    <t>KRW</t>
  </si>
  <si>
    <t>KRW_000</t>
  </si>
  <si>
    <t>İspanya</t>
  </si>
  <si>
    <t>Spain</t>
  </si>
  <si>
    <t>ES</t>
  </si>
  <si>
    <t>Sri Lanka</t>
  </si>
  <si>
    <t>LK</t>
  </si>
  <si>
    <t>LKR</t>
  </si>
  <si>
    <t>Surinam</t>
  </si>
  <si>
    <t>Suriname</t>
  </si>
  <si>
    <t>SR</t>
  </si>
  <si>
    <t>SRD</t>
  </si>
  <si>
    <t>İsveç</t>
  </si>
  <si>
    <t xml:space="preserve">Sweden </t>
  </si>
  <si>
    <t>SE</t>
  </si>
  <si>
    <t>SEK</t>
  </si>
  <si>
    <t>İsviçre</t>
  </si>
  <si>
    <t xml:space="preserve">Switzerland </t>
  </si>
  <si>
    <t>CH</t>
  </si>
  <si>
    <t>CHE-CHF-CHW</t>
  </si>
  <si>
    <t>Tayvan</t>
  </si>
  <si>
    <t xml:space="preserve">Taiwan (Province of China) </t>
  </si>
  <si>
    <t>TW</t>
  </si>
  <si>
    <t>TWD</t>
  </si>
  <si>
    <t>Tacikistan</t>
  </si>
  <si>
    <t xml:space="preserve">Tajikistan </t>
  </si>
  <si>
    <t>TJ</t>
  </si>
  <si>
    <t>TJS</t>
  </si>
  <si>
    <t>Tanzanya</t>
  </si>
  <si>
    <t>Tanzania, United Republic of</t>
  </si>
  <si>
    <t>TZ</t>
  </si>
  <si>
    <t>TZS</t>
  </si>
  <si>
    <t>Tayland</t>
  </si>
  <si>
    <t>Thailand</t>
  </si>
  <si>
    <t>TH</t>
  </si>
  <si>
    <t>THB</t>
  </si>
  <si>
    <t>Togo</t>
  </si>
  <si>
    <t>TG</t>
  </si>
  <si>
    <t>Tonga</t>
  </si>
  <si>
    <t>TO</t>
  </si>
  <si>
    <t>TOP</t>
  </si>
  <si>
    <t>Trinidad ve Tobago</t>
  </si>
  <si>
    <t xml:space="preserve">Trinidad and Tobago </t>
  </si>
  <si>
    <t>TT</t>
  </si>
  <si>
    <t>TTD</t>
  </si>
  <si>
    <t>Tunus</t>
  </si>
  <si>
    <t xml:space="preserve">Tunisia </t>
  </si>
  <si>
    <t>TN</t>
  </si>
  <si>
    <t>TND</t>
  </si>
  <si>
    <t>Türkiye</t>
  </si>
  <si>
    <t>TR</t>
  </si>
  <si>
    <t>TRY</t>
  </si>
  <si>
    <t>Usually test 29/39/49</t>
  </si>
  <si>
    <t>Türkmenistan</t>
  </si>
  <si>
    <t xml:space="preserve">Turkmenistan </t>
  </si>
  <si>
    <t>TM</t>
  </si>
  <si>
    <t>TMT</t>
  </si>
  <si>
    <t>Turks ve Caicos Adaları</t>
  </si>
  <si>
    <t xml:space="preserve">Turks and Caicos Islands </t>
  </si>
  <si>
    <t>TC</t>
  </si>
  <si>
    <t>Uganda</t>
  </si>
  <si>
    <t>UG</t>
  </si>
  <si>
    <t>UGX</t>
  </si>
  <si>
    <t>Ukrayna</t>
  </si>
  <si>
    <t xml:space="preserve">Ukraine </t>
  </si>
  <si>
    <t>UA</t>
  </si>
  <si>
    <t>UAH</t>
  </si>
  <si>
    <t>Birleşik Arap Emirlikleri</t>
  </si>
  <si>
    <t>United Arab Emirates</t>
  </si>
  <si>
    <t>AE</t>
  </si>
  <si>
    <t>AED</t>
  </si>
  <si>
    <t>Birleşik Krallık</t>
  </si>
  <si>
    <t>United Kingdom</t>
  </si>
  <si>
    <t>GB</t>
  </si>
  <si>
    <t>GBP</t>
  </si>
  <si>
    <t>GBP_99</t>
  </si>
  <si>
    <t>Amerika Birleşik Devletleri</t>
  </si>
  <si>
    <t>United States</t>
  </si>
  <si>
    <t>US</t>
  </si>
  <si>
    <t>Reference market</t>
  </si>
  <si>
    <t>Uruguay</t>
  </si>
  <si>
    <t>UY</t>
  </si>
  <si>
    <t>UYU-UYI</t>
  </si>
  <si>
    <t>Özbekistan</t>
  </si>
  <si>
    <t xml:space="preserve">Uzbekistan </t>
  </si>
  <si>
    <t>UZ</t>
  </si>
  <si>
    <t>UZS</t>
  </si>
  <si>
    <t>Vanuatu</t>
  </si>
  <si>
    <t xml:space="preserve">Vanuatu </t>
  </si>
  <si>
    <t>VU</t>
  </si>
  <si>
    <t>VUV</t>
  </si>
  <si>
    <t>Vatikan</t>
  </si>
  <si>
    <t>Vatican City</t>
  </si>
  <si>
    <t>VA</t>
  </si>
  <si>
    <t>Venezuela</t>
  </si>
  <si>
    <t xml:space="preserve">Venezuela  </t>
  </si>
  <si>
    <t>VE</t>
  </si>
  <si>
    <t>VES-VEF-VED</t>
  </si>
  <si>
    <t>Vietnam</t>
  </si>
  <si>
    <t>VN</t>
  </si>
  <si>
    <t>VND</t>
  </si>
  <si>
    <t>VND_000</t>
  </si>
  <si>
    <t>Britanya Virjin Adaları</t>
  </si>
  <si>
    <t xml:space="preserve">Virgin Islands (British) </t>
  </si>
  <si>
    <t>VG</t>
  </si>
  <si>
    <t>Yemen</t>
  </si>
  <si>
    <t>YE</t>
  </si>
  <si>
    <t>YER</t>
  </si>
  <si>
    <t>Zambiya</t>
  </si>
  <si>
    <t xml:space="preserve">Zambia </t>
  </si>
  <si>
    <t>ZM</t>
  </si>
  <si>
    <t>ZMW</t>
  </si>
  <si>
    <t>Zimbabve</t>
  </si>
  <si>
    <t xml:space="preserve">Zimbabwe </t>
  </si>
  <si>
    <t>ZW</t>
  </si>
  <si>
    <t>ZIG-ZWL</t>
  </si>
  <si>
    <t>S</t>
  </si>
  <si>
    <t>1.00</t>
  </si>
  <si>
    <t>Central African Republic</t>
  </si>
  <si>
    <t>0.80</t>
  </si>
  <si>
    <t>Egypt</t>
  </si>
  <si>
    <t>0.55</t>
  </si>
  <si>
    <t>Czech Republic</t>
  </si>
  <si>
    <t>0.30</t>
  </si>
  <si>
    <t>0.25</t>
  </si>
  <si>
    <t>Hungary</t>
  </si>
  <si>
    <t>Malaysia</t>
  </si>
  <si>
    <t>Netherlands</t>
  </si>
  <si>
    <t>Philippines</t>
  </si>
  <si>
    <t>Somalia</t>
  </si>
  <si>
    <t>New Zealand</t>
  </si>
  <si>
    <t>Romania</t>
  </si>
  <si>
    <t>Norway</t>
  </si>
  <si>
    <t>Portugal</t>
  </si>
  <si>
    <t>Singapore</t>
  </si>
  <si>
    <t>Saudi Arabia</t>
  </si>
  <si>
    <t>Turkey</t>
  </si>
  <si>
    <t>Sweden</t>
  </si>
  <si>
    <t>Taiwan</t>
  </si>
  <si>
    <t>Switzerland</t>
  </si>
  <si>
    <t>UAE</t>
  </si>
  <si>
    <t>UK</t>
  </si>
  <si>
    <t>USA</t>
  </si>
  <si>
    <t>PPP</t>
  </si>
  <si>
    <t>TIER</t>
  </si>
  <si>
    <t>MAX</t>
  </si>
  <si>
    <t>MIN</t>
  </si>
  <si>
    <t>TIER CONST</t>
  </si>
  <si>
    <t>$</t>
  </si>
  <si>
    <t>USD/LOCAL CUR.</t>
  </si>
  <si>
    <t>LOCAL</t>
  </si>
  <si>
    <t>FLG</t>
  </si>
  <si>
    <t>Bosnia and Herzegovina</t>
  </si>
  <si>
    <t>Congo (the Democratic Republic of the)</t>
  </si>
  <si>
    <t>Côte d’Ivoire</t>
  </si>
  <si>
    <t>czechia</t>
  </si>
  <si>
    <t>Guinea-Bissau</t>
  </si>
  <si>
    <t>Iceland</t>
  </si>
  <si>
    <t>Indian</t>
  </si>
  <si>
    <t>Kazakhstan</t>
  </si>
  <si>
    <t>Kyrgyzstan</t>
  </si>
  <si>
    <t>Lao People's Democratic Republic</t>
  </si>
  <si>
    <t>Lebanon</t>
  </si>
  <si>
    <t>Liechtenstein</t>
  </si>
  <si>
    <t>Lithuania</t>
  </si>
  <si>
    <t>Luxembourg</t>
  </si>
  <si>
    <t>Macao</t>
  </si>
  <si>
    <t>Maldives</t>
  </si>
  <si>
    <t>Micronesia (Federated States of)</t>
  </si>
  <si>
    <t>Moldova (the Republic of)</t>
  </si>
  <si>
    <t>Monaco</t>
  </si>
  <si>
    <t>Mongolia</t>
  </si>
  <si>
    <t>Mozambique</t>
  </si>
  <si>
    <t>Myanmar</t>
  </si>
  <si>
    <t>Namibia</t>
  </si>
  <si>
    <t>Nicaragua</t>
  </si>
  <si>
    <t>Papua New Guinea</t>
  </si>
  <si>
    <t>Republic of North Macedonia</t>
  </si>
  <si>
    <t>Russian Federation</t>
  </si>
  <si>
    <t>Rwanda</t>
  </si>
  <si>
    <t>Saint Kitts and Nevis</t>
  </si>
  <si>
    <t>Seychelles</t>
  </si>
  <si>
    <t>Slovakia</t>
  </si>
  <si>
    <t>Slovenia</t>
  </si>
  <si>
    <t>Solomon Islands</t>
  </si>
  <si>
    <t>Taiwan (Province of China)</t>
  </si>
  <si>
    <t>Tajikistan</t>
  </si>
  <si>
    <t>Trinidad and Tobago</t>
  </si>
  <si>
    <t>Tunisia</t>
  </si>
  <si>
    <t>Turkmenistan</t>
  </si>
  <si>
    <t>Turks and Caicos Islands</t>
  </si>
  <si>
    <t>Ukraine</t>
  </si>
  <si>
    <t>United Kingdom of Great Britain and Northern Ireland</t>
  </si>
  <si>
    <t>United States of America</t>
  </si>
  <si>
    <t>Uzbekistan</t>
  </si>
  <si>
    <t>Viet Nam</t>
  </si>
  <si>
    <t>Virgin Islands (British)</t>
  </si>
  <si>
    <t>Zambia</t>
  </si>
  <si>
    <t>Zimbabwe</t>
  </si>
  <si>
    <t>Rounding Rules / Editable Playbook</t>
  </si>
  <si>
    <t>Group</t>
  </si>
  <si>
    <t>Logic</t>
  </si>
  <si>
    <t>Suggested Tiers</t>
  </si>
  <si>
    <t>Edit Note</t>
  </si>
  <si>
    <t>Round to x.99</t>
  </si>
  <si>
    <t>0.99 / 1.99 / 2.99 / 3.99 / 4.99</t>
  </si>
  <si>
    <t>Good for US-style pricing</t>
  </si>
  <si>
    <t>EU premium-friendly</t>
  </si>
  <si>
    <t>Fixed tier bucket</t>
  </si>
  <si>
    <t>19 / 29 / 39 / 49 / 79</t>
  </si>
  <si>
    <t>Test 29 vs 39 for conversion/revenue</t>
  </si>
  <si>
    <t>29 / 49 / 99</t>
  </si>
  <si>
    <t>Round to x.90</t>
  </si>
  <si>
    <t>2.90 / 4.90 / 6.90 / 9.90</t>
  </si>
  <si>
    <t>Nearest 1,000</t>
  </si>
  <si>
    <t>9,000 / 15,000 / 29,000</t>
  </si>
  <si>
    <t>Nearest 100</t>
  </si>
  <si>
    <t>100 / 200 / 300 / 500</t>
  </si>
  <si>
    <t>1,000 / 2,000 / 3,000 / 5,000</t>
  </si>
  <si>
    <t>10,000 / 20,000 / 30,000</t>
  </si>
  <si>
    <t>Source Notes / References</t>
  </si>
  <si>
    <t>Input</t>
  </si>
  <si>
    <t>Purpose</t>
  </si>
  <si>
    <t>Source / URL</t>
  </si>
  <si>
    <t>Refresh Cadence</t>
  </si>
  <si>
    <t>PPP factor</t>
  </si>
  <si>
    <t>Relative local affordability input</t>
  </si>
  <si>
    <t>https://data.worldbank.org/indicator/PA.NUS.PPP</t>
  </si>
  <si>
    <t>Quarterly or before price updates</t>
  </si>
  <si>
    <t>Template values are starter estimates; replace with your chosen normalized PPP factors.</t>
  </si>
  <si>
    <t>FX rate</t>
  </si>
  <si>
    <t>Convert USD to local currency</t>
  </si>
  <si>
    <t>https://www.google.com/finance/</t>
  </si>
  <si>
    <t>Before Play Console update</t>
  </si>
  <si>
    <t>In Google Sheets, use GOOGLEFINANCE formulas copied from PricingModel column N.</t>
  </si>
  <si>
    <t>Google Play pricing</t>
  </si>
  <si>
    <t>Check supported local prices and taxes</t>
  </si>
  <si>
    <t>https://support.google.com/googleplay/android-developer/</t>
  </si>
  <si>
    <t>Before launch and major updates</t>
  </si>
  <si>
    <t>Play Console final local prices may differ due to tax/minimum price constraints.</t>
  </si>
  <si>
    <t>Competitor pricing</t>
  </si>
  <si>
    <t>Market adjustment sanity check</t>
  </si>
  <si>
    <t>Manual Play Store research</t>
  </si>
  <si>
    <t>Before launch</t>
  </si>
  <si>
    <t>Use Market Adj column to shift price after checking similar apps.</t>
  </si>
  <si>
    <t>Date</t>
  </si>
  <si>
    <t>App</t>
  </si>
  <si>
    <t>Variant</t>
  </si>
  <si>
    <t>Price</t>
  </si>
  <si>
    <t>Impressions</t>
  </si>
  <si>
    <t>Purchases</t>
  </si>
  <si>
    <t>Conversion</t>
  </si>
  <si>
    <t>Revenue</t>
  </si>
  <si>
    <t>ARPU</t>
  </si>
  <si>
    <t>Winner Note</t>
  </si>
  <si>
    <t>BLE Scanner</t>
  </si>
  <si>
    <t>Secure Vault</t>
  </si>
  <si>
    <t>A/B Price Testing Dashboard</t>
  </si>
  <si>
    <t>Total Impressions</t>
  </si>
  <si>
    <t>Total Purchases</t>
  </si>
  <si>
    <t>1) Add weekly price tests in AB_TEST.</t>
  </si>
  <si>
    <t>Total Revenue</t>
  </si>
  <si>
    <t>2) Keep each test country/app split clean: A vs B.</t>
  </si>
  <si>
    <t>Avg Conversion</t>
  </si>
  <si>
    <t>3) Judge by Revenue first, then Conversion.</t>
  </si>
  <si>
    <t>Avg ARPU</t>
  </si>
  <si>
    <t>4) Run each variant at least 7 days if possible.</t>
  </si>
  <si>
    <t>Best Variant by Revenue</t>
  </si>
  <si>
    <t>5) After winner is clear, update Play Store pricing.</t>
  </si>
  <si>
    <t>Variant Summary</t>
  </si>
  <si>
    <t>Revenue Share</t>
  </si>
  <si>
    <t>Decision</t>
  </si>
  <si>
    <t>Country / App Breakdown</t>
  </si>
  <si>
    <t>AB Price Testing Setup</t>
  </si>
  <si>
    <t>Editable fields</t>
  </si>
  <si>
    <t>Meaning</t>
  </si>
  <si>
    <t>Example</t>
  </si>
  <si>
    <t>Which app / SKU you are testing</t>
  </si>
  <si>
    <t>Use same naming in AB_TEST</t>
  </si>
  <si>
    <t>Play Store country code</t>
  </si>
  <si>
    <t>TR, US, IN, BR etc.</t>
  </si>
  <si>
    <t>Price variant label</t>
  </si>
  <si>
    <t>A / B</t>
  </si>
  <si>
    <t>A = higher price, B = lower price recommended</t>
  </si>
  <si>
    <t>Paywall / purchase screen views</t>
  </si>
  <si>
    <t>Use Play Console / analytics</t>
  </si>
  <si>
    <t>Completed purchases</t>
  </si>
  <si>
    <t>Use Play Console order data</t>
  </si>
  <si>
    <t>Auto calculated</t>
  </si>
  <si>
    <t>Price × Purchases</t>
  </si>
  <si>
    <t>Purchases ÷ Impressions</t>
  </si>
  <si>
    <t>Decision metric</t>
  </si>
  <si>
    <t>Primary winner metric</t>
  </si>
  <si>
    <t>Conversion alone is not enough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</si>
</sst>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000"/>
  </numFmts>
  <fonts count="19">
    <font>
      <sz val="10.0"/>
      <color rgb="FF000000"/>
      <name val="Arial"/>
      <scheme val="minor"/>
    </font>
    <font>
      <b/>
      <sz val="18.0"/>
      <color rgb="FFFFFFFF"/>
      <name val="Calibri"/>
    </font>
    <font/>
    <font>
      <b/>
      <sz val="11.0"/>
      <color rgb="FFFFFFFF"/>
      <name val="Calibri"/>
    </font>
    <font>
      <sz val="11.0"/>
      <color rgb="FF111827"/>
      <name val="Calibri"/>
    </font>
    <font>
      <b/>
      <sz val="11.0"/>
      <color rgb="FF0F172A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1.0"/>
      <color theme="1"/>
      <name val="Calibri"/>
    </font>
    <font>
      <sz val="10.0"/>
      <color theme="1"/>
      <name val="Arial"/>
    </font>
    <font>
      <color theme="1"/>
      <name val="Arial"/>
    </font>
    <font>
      <color theme="1"/>
      <name val="Carlito"/>
    </font>
    <font>
      <b/>
      <color theme="1"/>
      <name val="Arial"/>
      <scheme val="minor"/>
    </font>
    <font>
      <color theme="1"/>
      <name val="Calibri"/>
    </font>
    <font>
      <b/>
      <sz val="16.0"/>
      <color rgb="FFFFFFFF"/>
      <name val="Calibri"/>
    </font>
    <font>
      <b/>
      <sz val="10.0"/>
      <color rgb="FFFFFFFF"/>
      <name val="Aptos"/>
    </font>
    <font>
      <sz val="10.0"/>
      <color theme="1"/>
      <name val="Aptos"/>
    </font>
    <font>
      <b/>
      <sz val="16.0"/>
      <color rgb="FFFFFFFF"/>
      <name val="Aptos"/>
    </font>
    <font>
      <b/>
      <sz val="10.0"/>
      <color theme="1"/>
      <name val="Aptos"/>
    </font>
  </fonts>
  <fills count="11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FEF3C7"/>
        <bgColor rgb="FFFEF3C7"/>
      </patternFill>
    </fill>
    <fill>
      <patternFill patternType="solid">
        <fgColor rgb="FFCCFBF1"/>
        <bgColor rgb="FFCCFBF1"/>
      </patternFill>
    </fill>
    <fill>
      <patternFill patternType="solid">
        <fgColor rgb="FF0F766E"/>
        <bgColor rgb="FF0F766E"/>
      </patternFill>
    </fill>
    <fill>
      <patternFill patternType="solid">
        <fgColor rgb="FFF8FAFC"/>
        <bgColor rgb="FFF8FAFC"/>
      </patternFill>
    </fill>
    <fill>
      <patternFill patternType="solid">
        <fgColor rgb="FF22D3EE"/>
        <bgColor rgb="FF22D3EE"/>
      </patternFill>
    </fill>
    <fill>
      <patternFill patternType="solid">
        <fgColor rgb="FFE0F2FE"/>
        <bgColor rgb="FFE0F2FE"/>
      </patternFill>
    </fill>
    <fill>
      <patternFill patternType="solid">
        <fgColor rgb="FF334155"/>
        <bgColor rgb="FF33415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0"/>
    </xf>
    <xf borderId="4" fillId="4" fontId="4" numFmtId="2" xfId="0" applyAlignment="1" applyBorder="1" applyFill="1" applyFont="1" applyNumberFormat="1">
      <alignment shrinkToFit="0" vertical="bottom" wrapText="0"/>
    </xf>
    <xf borderId="4" fillId="4" fontId="4" numFmtId="0" xfId="0" applyAlignment="1" applyBorder="1" applyFont="1">
      <alignment shrinkToFit="0" vertical="bottom" wrapText="0"/>
    </xf>
    <xf borderId="4" fillId="5" fontId="5" numFmtId="0" xfId="0" applyAlignment="1" applyBorder="1" applyFill="1" applyFont="1">
      <alignment shrinkToFit="0" vertical="bottom" wrapText="0"/>
    </xf>
    <xf borderId="4" fillId="6" fontId="3" numFmtId="0" xfId="0" applyAlignment="1" applyBorder="1" applyFill="1" applyFont="1">
      <alignment shrinkToFit="0" vertical="bottom" wrapText="0"/>
    </xf>
    <xf borderId="4" fillId="7" fontId="6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6" numFmtId="2" xfId="0" applyAlignment="1" applyFont="1" applyNumberFormat="1">
      <alignment shrinkToFit="0" vertical="bottom" wrapText="1"/>
    </xf>
    <xf borderId="0" fillId="0" fontId="10" numFmtId="2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0" fontId="10" numFmtId="4" xfId="0" applyAlignment="1" applyFont="1" applyNumberFormat="1">
      <alignment shrinkToFit="0" vertical="bottom" wrapText="0"/>
    </xf>
    <xf borderId="4" fillId="4" fontId="6" numFmtId="0" xfId="0" applyAlignment="1" applyBorder="1" applyFont="1">
      <alignment shrinkToFit="0" vertical="bottom" wrapText="1"/>
    </xf>
    <xf borderId="0" fillId="0" fontId="11" numFmtId="2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1"/>
    </xf>
    <xf borderId="0" fillId="0" fontId="11" numFmtId="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4" fillId="8" fontId="6" numFmtId="2" xfId="0" applyAlignment="1" applyBorder="1" applyFill="1" applyFont="1" applyNumberFormat="1">
      <alignment shrinkToFit="0" vertical="bottom" wrapText="1"/>
    </xf>
    <xf borderId="0" fillId="0" fontId="10" numFmtId="49" xfId="0" applyAlignment="1" applyFont="1" applyNumberFormat="1">
      <alignment shrinkToFit="0" vertical="bottom" wrapText="0"/>
    </xf>
    <xf borderId="0" fillId="0" fontId="11" numFmtId="49" xfId="0" applyAlignment="1" applyFont="1" applyNumberFormat="1">
      <alignment shrinkToFit="0" vertical="bottom" wrapText="0"/>
    </xf>
    <xf borderId="0" fillId="0" fontId="7" numFmtId="2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9" numFmtId="0" xfId="0" applyAlignment="1" applyFont="1">
      <alignment shrinkToFit="0" vertical="bottom" wrapText="0"/>
    </xf>
    <xf borderId="0" fillId="0" fontId="7" numFmtId="0" xfId="0" applyFont="1"/>
    <xf borderId="0" fillId="0" fontId="12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7" numFmtId="0" xfId="0" applyAlignment="1" applyFont="1">
      <alignment horizontal="left"/>
    </xf>
    <xf borderId="0" fillId="0" fontId="12" numFmtId="4" xfId="0" applyAlignment="1" applyFont="1" applyNumberFormat="1">
      <alignment horizontal="center" readingOrder="0"/>
    </xf>
    <xf borderId="0" fillId="0" fontId="7" numFmtId="0" xfId="0" applyAlignment="1" applyFont="1">
      <alignment horizontal="right" readingOrder="0"/>
    </xf>
    <xf borderId="0" fillId="0" fontId="7" numFmtId="0" xfId="0" applyAlignment="1" applyFont="1">
      <alignment horizontal="center" readingOrder="0"/>
    </xf>
    <xf borderId="0" fillId="0" fontId="10" numFmtId="4" xfId="0" applyAlignment="1" applyFont="1" applyNumberFormat="1">
      <alignment vertical="bottom"/>
    </xf>
    <xf borderId="0" fillId="0" fontId="10" numFmtId="4" xfId="0" applyAlignment="1" applyFont="1" applyNumberFormat="1">
      <alignment vertical="bottom"/>
    </xf>
    <xf borderId="0" fillId="0" fontId="10" numFmtId="0" xfId="0" applyAlignment="1" applyFont="1">
      <alignment readingOrder="0" vertical="bottom"/>
    </xf>
    <xf borderId="0" fillId="0" fontId="11" numFmtId="4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13" numFmtId="0" xfId="0" applyAlignment="1" applyFont="1">
      <alignment horizontal="left" readingOrder="0"/>
    </xf>
    <xf borderId="0" fillId="0" fontId="10" numFmtId="49" xfId="0" applyAlignment="1" applyFont="1" applyNumberFormat="1">
      <alignment vertical="bottom"/>
    </xf>
    <xf borderId="0" fillId="0" fontId="11" numFmtId="49" xfId="0" applyAlignment="1" applyFont="1" applyNumberFormat="1">
      <alignment vertical="bottom"/>
    </xf>
    <xf borderId="0" fillId="0" fontId="7" numFmtId="0" xfId="0" applyAlignment="1" applyFont="1">
      <alignment horizontal="center"/>
    </xf>
    <xf borderId="0" fillId="0" fontId="7" numFmtId="4" xfId="0" applyFont="1" applyNumberFormat="1"/>
    <xf borderId="1" fillId="2" fontId="14" numFmtId="0" xfId="0" applyAlignment="1" applyBorder="1" applyFont="1">
      <alignment horizontal="center" shrinkToFit="0" vertical="bottom" wrapText="0"/>
    </xf>
    <xf borderId="4" fillId="6" fontId="15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shrinkToFit="0" vertical="bottom" wrapText="0"/>
    </xf>
    <xf borderId="0" fillId="0" fontId="16" numFmtId="2" xfId="0" applyAlignment="1" applyFont="1" applyNumberFormat="1">
      <alignment shrinkToFit="0" vertical="bottom" wrapText="0"/>
    </xf>
    <xf borderId="0" fillId="0" fontId="16" numFmtId="1" xfId="0" applyAlignment="1" applyFont="1" applyNumberFormat="1">
      <alignment shrinkToFit="0" vertical="bottom" wrapText="0"/>
    </xf>
    <xf borderId="0" fillId="0" fontId="16" numFmtId="10" xfId="0" applyAlignment="1" applyFont="1" applyNumberFormat="1">
      <alignment shrinkToFit="0" vertical="bottom" wrapText="0"/>
    </xf>
    <xf borderId="1" fillId="2" fontId="17" numFmtId="0" xfId="0" applyAlignment="1" applyBorder="1" applyFont="1">
      <alignment horizontal="center" shrinkToFit="0" vertical="center" wrapText="0"/>
    </xf>
    <xf borderId="4" fillId="9" fontId="18" numFmtId="0" xfId="0" applyAlignment="1" applyBorder="1" applyFill="1" applyFont="1">
      <alignment shrinkToFit="0" vertical="bottom" wrapText="0"/>
    </xf>
    <xf borderId="4" fillId="7" fontId="18" numFmtId="1" xfId="0" applyAlignment="1" applyBorder="1" applyFont="1" applyNumberFormat="1">
      <alignment shrinkToFit="0" vertical="bottom" wrapText="0"/>
    </xf>
    <xf borderId="4" fillId="10" fontId="15" numFmtId="0" xfId="0" applyAlignment="1" applyBorder="1" applyFill="1" applyFont="1">
      <alignment horizontal="left" shrinkToFit="0" vertical="bottom" wrapText="0"/>
    </xf>
    <xf borderId="0" fillId="0" fontId="16" numFmtId="0" xfId="0" applyAlignment="1" applyFont="1">
      <alignment shrinkToFit="0" vertical="bottom" wrapText="1"/>
    </xf>
    <xf borderId="4" fillId="7" fontId="18" numFmtId="10" xfId="0" applyAlignment="1" applyBorder="1" applyFont="1" applyNumberFormat="1">
      <alignment shrinkToFit="0" vertical="bottom" wrapText="0"/>
    </xf>
    <xf borderId="4" fillId="7" fontId="18" numFmtId="165" xfId="0" applyAlignment="1" applyBorder="1" applyFont="1" applyNumberFormat="1">
      <alignment shrinkToFit="0" vertical="bottom" wrapText="0"/>
    </xf>
    <xf borderId="4" fillId="7" fontId="18" numFmtId="0" xfId="0" applyAlignment="1" applyBorder="1" applyFont="1">
      <alignment shrinkToFit="0" vertical="bottom" wrapText="0"/>
    </xf>
    <xf borderId="1" fillId="10" fontId="15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</dxfs>
  <tableStyles count="3">
    <tableStyle count="4" pivot="0" name="PricingMod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ceLa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riceLas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cat>
            <c:strRef>
              <c:f>AB_Dashboard!$A$13:$A$14</c:f>
            </c:strRef>
          </c:cat>
          <c:val>
            <c:numRef>
              <c:f>AB_Dashboard!$E$13:$E$14</c:f>
              <c:numCache/>
            </c:numRef>
          </c:val>
        </c:ser>
        <c:axId val="400326548"/>
        <c:axId val="200860778"/>
      </c:barChart>
      <c:catAx>
        <c:axId val="4003265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0860778"/>
      </c:catAx>
      <c:valAx>
        <c:axId val="2008607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00326548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Conversion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cat>
            <c:strRef>
              <c:f>AB_Dashboard!$A$13:$A$14</c:f>
            </c:strRef>
          </c:cat>
          <c:val>
            <c:numRef>
              <c:f>AB_Dashboard!$D$13:$D$14</c:f>
              <c:numCache/>
            </c:numRef>
          </c:val>
        </c:ser>
        <c:axId val="1889292448"/>
        <c:axId val="506103831"/>
      </c:barChart>
      <c:catAx>
        <c:axId val="1889292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06103831"/>
      </c:catAx>
      <c:valAx>
        <c:axId val="506103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89292448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5124450" cy="2981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18</xdr:row>
      <xdr:rowOff>0</xdr:rowOff>
    </xdr:from>
    <xdr:ext cx="5124450" cy="2981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74" displayName="Tablo1" name="Tablo1" id="1">
  <tableColumns count="17">
    <tableColumn name="1. sütun" id="1"/>
    <tableColumn name="Country" id="2"/>
    <tableColumn name="Country Code" id="3"/>
    <tableColumn name="Currency" id="4"/>
    <tableColumn name="PPP Factor" id="5"/>
    <tableColumn name="Tier" id="6"/>
    <tableColumn name="Base USD" id="7"/>
    <tableColumn name="PPP Price USD" id="8"/>
    <tableColumn name="Market Adj" id="9"/>
    <tableColumn name="FX USD→Local" id="10"/>
    <tableColumn name="Raw Local Price" id="11"/>
    <tableColumn name="Rounding Group" id="12"/>
    <tableColumn name="Final Rounded Local" id="13"/>
    <tableColumn name="Final USD Approx" id="14"/>
    <tableColumn name="Recommended Action" id="15"/>
    <tableColumn name="FX Formula for Google Sheets" id="16"/>
    <tableColumn name="Notes" id="17"/>
  </tableColumns>
  <tableStyleInfo name="PricingModel-style" showColumnStripes="0" showFirstColumn="1" showLastColumn="1" showRowStripes="1"/>
</table>
</file>

<file path=xl/tables/table2.xml><?xml version="1.0" encoding="utf-8"?>
<table xmlns="http://schemas.openxmlformats.org/spreadsheetml/2006/main" ref="D1:D174" displayName="Tablo2" name="Tablo2" id="2">
  <tableColumns count="1">
    <tableColumn name="Currency" id="1"/>
  </tableColumns>
  <tableStyleInfo name="PriceLast-style" showColumnStripes="0" showFirstColumn="1" showLastColumn="1" showRowStripes="1"/>
</table>
</file>

<file path=xl/tables/table3.xml><?xml version="1.0" encoding="utf-8"?>
<table xmlns="http://schemas.openxmlformats.org/spreadsheetml/2006/main" headerRowCount="0" ref="J2:M174" displayName="Table_1" name="Table_1" id="3">
  <tableColumns count="4">
    <tableColumn name="Column1" id="1"/>
    <tableColumn name="Column2" id="2"/>
    <tableColumn name="Column3" id="3"/>
    <tableColumn name="Column4" id="4"/>
  </tableColumns>
  <tableStyleInfo name="PriceLas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4.0"/>
    <col customWidth="1" min="3" max="3" width="41.63"/>
    <col customWidth="1" min="4" max="4" width="33.0"/>
    <col customWidth="1" min="5" max="8" width="16.0"/>
    <col customWidth="1" min="9" max="26" width="8.5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3">
      <c r="A3" s="4" t="s">
        <v>1</v>
      </c>
      <c r="B3" s="5">
        <v>1.0</v>
      </c>
    </row>
    <row r="4">
      <c r="A4" s="4" t="s">
        <v>2</v>
      </c>
      <c r="B4" s="5">
        <v>0.49</v>
      </c>
    </row>
    <row r="5">
      <c r="A5" s="4" t="s">
        <v>3</v>
      </c>
      <c r="B5" s="5">
        <v>1.99</v>
      </c>
    </row>
    <row r="6">
      <c r="A6" s="4" t="s">
        <v>4</v>
      </c>
      <c r="B6" s="6">
        <v>1.0</v>
      </c>
    </row>
    <row r="7">
      <c r="A7" s="4" t="s">
        <v>5</v>
      </c>
      <c r="B7" s="6" t="s">
        <v>6</v>
      </c>
    </row>
    <row r="8">
      <c r="A8" s="4" t="s">
        <v>7</v>
      </c>
      <c r="B8" s="6" t="s">
        <v>8</v>
      </c>
    </row>
    <row r="9">
      <c r="A9" s="4" t="s">
        <v>9</v>
      </c>
      <c r="B9" s="6" t="s">
        <v>10</v>
      </c>
    </row>
    <row r="10">
      <c r="A10" s="4" t="s">
        <v>11</v>
      </c>
      <c r="B10" s="6" t="s">
        <v>12</v>
      </c>
    </row>
    <row r="12">
      <c r="A12" s="7" t="s">
        <v>13</v>
      </c>
      <c r="B12" s="7" t="s">
        <v>14</v>
      </c>
      <c r="C12" s="7" t="s">
        <v>15</v>
      </c>
      <c r="D12" s="7" t="s">
        <v>16</v>
      </c>
      <c r="E12" s="7" t="s">
        <v>17</v>
      </c>
      <c r="F12" s="7"/>
      <c r="G12" s="7"/>
      <c r="H12" s="7"/>
    </row>
    <row r="14">
      <c r="A14" s="8" t="s">
        <v>18</v>
      </c>
      <c r="B14" s="8" t="s">
        <v>19</v>
      </c>
      <c r="C14" s="8" t="s">
        <v>20</v>
      </c>
      <c r="D14" s="8" t="s">
        <v>21</v>
      </c>
    </row>
    <row r="15">
      <c r="A15" s="9" t="s">
        <v>22</v>
      </c>
      <c r="B15" s="9" t="s">
        <v>23</v>
      </c>
      <c r="C15" s="9" t="s">
        <v>24</v>
      </c>
      <c r="D15" s="9" t="s">
        <v>25</v>
      </c>
    </row>
    <row r="16">
      <c r="A16" s="9" t="s">
        <v>26</v>
      </c>
      <c r="B16" s="9" t="s">
        <v>27</v>
      </c>
      <c r="C16" s="9" t="s">
        <v>28</v>
      </c>
      <c r="D16" s="9" t="s">
        <v>29</v>
      </c>
    </row>
    <row r="17">
      <c r="A17" s="9" t="s">
        <v>30</v>
      </c>
      <c r="B17" s="9" t="s">
        <v>31</v>
      </c>
      <c r="C17" s="9" t="s">
        <v>32</v>
      </c>
      <c r="D17" s="9" t="s">
        <v>33</v>
      </c>
    </row>
    <row r="18">
      <c r="A18" s="9" t="s">
        <v>34</v>
      </c>
      <c r="B18" s="9" t="s">
        <v>35</v>
      </c>
      <c r="C18" s="9" t="s">
        <v>36</v>
      </c>
      <c r="D18" s="9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0.0"/>
    <col customWidth="1" min="3" max="4" width="16.0"/>
    <col customWidth="1" min="5" max="5" width="16.88"/>
    <col customWidth="1" min="6" max="8" width="16.0"/>
    <col customWidth="1" min="9" max="9" width="17.38"/>
    <col customWidth="1" min="10" max="10" width="17.63"/>
    <col customWidth="1" min="11" max="11" width="16.25"/>
    <col customWidth="1" min="12" max="12" width="16.13"/>
    <col customWidth="1" min="13" max="13" width="16.0"/>
    <col customWidth="1" min="14" max="14" width="16.13"/>
    <col customWidth="1" min="15" max="15" width="16.0"/>
    <col customWidth="1" min="16" max="16" width="31.63"/>
    <col customWidth="1" min="17" max="17" width="30.0"/>
    <col customWidth="1" min="18" max="26" width="8.5"/>
  </cols>
  <sheetData>
    <row r="1" ht="22.5" customHeight="1">
      <c r="A1" s="10" t="s">
        <v>38</v>
      </c>
      <c r="B1" s="11" t="s">
        <v>39</v>
      </c>
      <c r="C1" s="11" t="s">
        <v>40</v>
      </c>
      <c r="D1" s="11" t="s">
        <v>41</v>
      </c>
      <c r="E1" s="11" t="s">
        <v>42</v>
      </c>
      <c r="F1" s="11" t="s">
        <v>18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9</v>
      </c>
    </row>
    <row r="2" ht="22.5" customHeight="1">
      <c r="A2" s="12" t="s">
        <v>53</v>
      </c>
      <c r="B2" s="12" t="s">
        <v>54</v>
      </c>
      <c r="C2" s="12" t="s">
        <v>55</v>
      </c>
      <c r="D2" s="12" t="s">
        <v>56</v>
      </c>
      <c r="E2" s="13">
        <v>0.35</v>
      </c>
      <c r="F2" s="12" t="s">
        <v>57</v>
      </c>
      <c r="G2" s="14">
        <f>Dashboard!$B$3</f>
        <v>1</v>
      </c>
      <c r="H2" s="14">
        <f>MAX(Dashboard!$B$4,G2*E2)</f>
        <v>0.49</v>
      </c>
      <c r="I2" s="14">
        <v>1.0</v>
      </c>
      <c r="J2" s="15">
        <f>IFERROR(__xludf.DUMMYFUNCTION("GOOGLEFINANCE(""CURRENCY:USDALL"")"),81.26480000000001)</f>
        <v>81.2648</v>
      </c>
      <c r="K2" s="14">
        <f t="shared" ref="K2:K174" si="1">H2*I2*J2</f>
        <v>39.819752</v>
      </c>
      <c r="L2" s="16" t="s">
        <v>58</v>
      </c>
      <c r="M2" s="14">
        <f t="shared" ref="M2:M174" si="2">IF(L2="TRY_TIERS",IF(K2&lt;25,19,IF(K2&lt;35,29,IF(K2&lt;45,39,IF(K2&lt;60,49,79)))),
IF(L2="INR_TIERS",IF(K2&lt;40,29,IF(K2&lt;70,49,99)),
IF(L2="BRL_90",IF(K2&lt;3,2.9,IF(K2&lt;6,4.9,IF(K2&lt;10,6.9,9.9))),
IF(L2="IDR_000",ROUND(K2/1000,0)*1000,
IF(L2="JPY_00",ROUND(K2/100,0)*100,
IF(L2="KRW_000",ROUND(K2/1000,0)*1000,
IF(L2="VND_000",ROUND(K2/1000,0)*1000,
IF(OR(L2="USD_99",L2="EUR_99",L2="GBP_99",L2="CAD_99",L2="AUD_99",L2="PLN_99"),MAX(0.49,ROUND(K2,0)-0.01),
IF(L2="MXN_00",ROUND(K2,0),IF(L2="THB_00",ROUND(K2,0),ROUND(K2,2)))))))))))</f>
        <v>39</v>
      </c>
      <c r="N2" s="14">
        <f t="shared" ref="N2:N174" si="3">M2/J2</f>
        <v>0.4799125821</v>
      </c>
      <c r="O2" s="17"/>
      <c r="P2" s="18">
        <f>IFERROR(__xludf.DUMMYFUNCTION("GOOGLEFINANCE(""CURRENCY:USDALL"")"),81.26480000000001)</f>
        <v>81.2648</v>
      </c>
      <c r="Q2" s="17"/>
    </row>
    <row r="3" ht="22.5" customHeight="1">
      <c r="A3" s="12" t="s">
        <v>59</v>
      </c>
      <c r="B3" s="12" t="s">
        <v>60</v>
      </c>
      <c r="C3" s="12" t="s">
        <v>61</v>
      </c>
      <c r="D3" s="12" t="s">
        <v>62</v>
      </c>
      <c r="E3" s="13">
        <v>0.28</v>
      </c>
      <c r="F3" s="12" t="s">
        <v>57</v>
      </c>
      <c r="G3" s="14">
        <f>Dashboard!$B$3</f>
        <v>1</v>
      </c>
      <c r="H3" s="14">
        <f>MAX(Dashboard!$B$4,G3*E3)</f>
        <v>0.49</v>
      </c>
      <c r="I3" s="14">
        <v>1.0</v>
      </c>
      <c r="J3" s="15">
        <f>IFERROR(__xludf.DUMMYFUNCTION("GOOGLEFINANCE(""CURRENCY:USDDZD"")"),132.3826)</f>
        <v>132.3826</v>
      </c>
      <c r="K3" s="14">
        <f t="shared" si="1"/>
        <v>64.867474</v>
      </c>
      <c r="L3" s="16" t="s">
        <v>58</v>
      </c>
      <c r="M3" s="14">
        <f t="shared" si="2"/>
        <v>79</v>
      </c>
      <c r="N3" s="14">
        <f t="shared" si="3"/>
        <v>0.5967551627</v>
      </c>
      <c r="O3" s="17"/>
      <c r="P3" s="18">
        <f>IFERROR(__xludf.DUMMYFUNCTION("GOOGLEFINANCE(""CURRENCY:USDDZD"")"),132.3826)</f>
        <v>132.3826</v>
      </c>
      <c r="Q3" s="17"/>
    </row>
    <row r="4" ht="22.5" customHeight="1">
      <c r="A4" s="12" t="s">
        <v>63</v>
      </c>
      <c r="B4" s="12" t="s">
        <v>63</v>
      </c>
      <c r="C4" s="12" t="s">
        <v>64</v>
      </c>
      <c r="D4" s="12" t="s">
        <v>65</v>
      </c>
      <c r="E4" s="13">
        <v>0.22</v>
      </c>
      <c r="F4" s="12" t="s">
        <v>66</v>
      </c>
      <c r="G4" s="14">
        <f>Dashboard!$B$3</f>
        <v>1</v>
      </c>
      <c r="H4" s="14">
        <f>MAX(Dashboard!$B$4,G4*E4)</f>
        <v>0.49</v>
      </c>
      <c r="I4" s="14">
        <v>1.0</v>
      </c>
      <c r="J4" s="15">
        <f>IFERROR(__xludf.DUMMYFUNCTION("GOOGLEFINANCE(""CURRENCY:USDAOA"")"),918.0)</f>
        <v>918</v>
      </c>
      <c r="K4" s="14">
        <f t="shared" si="1"/>
        <v>449.82</v>
      </c>
      <c r="L4" s="16" t="s">
        <v>67</v>
      </c>
      <c r="M4" s="14">
        <f t="shared" si="2"/>
        <v>450</v>
      </c>
      <c r="N4" s="14">
        <f t="shared" si="3"/>
        <v>0.4901960784</v>
      </c>
      <c r="O4" s="17"/>
      <c r="P4" s="18">
        <f>IFERROR(__xludf.DUMMYFUNCTION("GOOGLEFINANCE(""CURRENCY:USDAOA"")"),918.0)</f>
        <v>918</v>
      </c>
      <c r="Q4" s="17"/>
    </row>
    <row r="5" ht="22.5" customHeight="1">
      <c r="A5" s="12" t="s">
        <v>68</v>
      </c>
      <c r="B5" s="12" t="s">
        <v>69</v>
      </c>
      <c r="C5" s="12" t="s">
        <v>70</v>
      </c>
      <c r="D5" s="12" t="s">
        <v>71</v>
      </c>
      <c r="E5" s="13">
        <v>0.65</v>
      </c>
      <c r="F5" s="12" t="s">
        <v>26</v>
      </c>
      <c r="G5" s="14">
        <f>Dashboard!$B$3</f>
        <v>1</v>
      </c>
      <c r="H5" s="14">
        <f>MAX(Dashboard!$B$4,G5*E5)</f>
        <v>0.65</v>
      </c>
      <c r="I5" s="14">
        <v>1.0</v>
      </c>
      <c r="J5" s="15">
        <f>IFERROR(__xludf.DUMMYFUNCTION("GOOGLEFINANCE(""CURRENCY:USDXCD"")"),2.70255)</f>
        <v>2.70255</v>
      </c>
      <c r="K5" s="14">
        <f t="shared" si="1"/>
        <v>1.7566575</v>
      </c>
      <c r="L5" s="16" t="s">
        <v>72</v>
      </c>
      <c r="M5" s="14">
        <f t="shared" si="2"/>
        <v>1.99</v>
      </c>
      <c r="N5" s="14">
        <f t="shared" si="3"/>
        <v>0.7363416033</v>
      </c>
      <c r="O5" s="17"/>
      <c r="P5" s="18">
        <f>IFERROR(__xludf.DUMMYFUNCTION("GOOGLEFINANCE(""CURRENCY:USDXCD"")"),2.70255)</f>
        <v>2.70255</v>
      </c>
      <c r="Q5" s="17"/>
    </row>
    <row r="6" ht="22.5" customHeight="1">
      <c r="A6" s="12" t="s">
        <v>73</v>
      </c>
      <c r="B6" s="12" t="s">
        <v>74</v>
      </c>
      <c r="C6" s="12" t="s">
        <v>75</v>
      </c>
      <c r="D6" s="12" t="s">
        <v>76</v>
      </c>
      <c r="E6" s="13">
        <v>0.3</v>
      </c>
      <c r="F6" s="12" t="s">
        <v>57</v>
      </c>
      <c r="G6" s="14">
        <f>Dashboard!$B$3</f>
        <v>1</v>
      </c>
      <c r="H6" s="14">
        <f>MAX(Dashboard!$B$4,G6*E6)</f>
        <v>0.49</v>
      </c>
      <c r="I6" s="14">
        <v>1.0</v>
      </c>
      <c r="J6" s="15">
        <f>IFERROR(__xludf.DUMMYFUNCTION("GOOGLEFINANCE(""CURRENCY:USDARS"")"),1385.0)</f>
        <v>1385</v>
      </c>
      <c r="K6" s="14">
        <f t="shared" si="1"/>
        <v>678.65</v>
      </c>
      <c r="L6" s="16" t="s">
        <v>67</v>
      </c>
      <c r="M6" s="14">
        <f t="shared" si="2"/>
        <v>679</v>
      </c>
      <c r="N6" s="14">
        <f t="shared" si="3"/>
        <v>0.4902527076</v>
      </c>
      <c r="O6" s="17"/>
      <c r="P6" s="18">
        <f>IFERROR(__xludf.DUMMYFUNCTION("GOOGLEFINANCE(""CURRENCY:USDARS"")"),1385.0)</f>
        <v>1385</v>
      </c>
      <c r="Q6" s="17"/>
    </row>
    <row r="7" ht="22.5" customHeight="1">
      <c r="A7" s="12" t="s">
        <v>77</v>
      </c>
      <c r="B7" s="12" t="s">
        <v>78</v>
      </c>
      <c r="C7" s="12" t="s">
        <v>79</v>
      </c>
      <c r="D7" s="12" t="s">
        <v>80</v>
      </c>
      <c r="E7" s="13">
        <v>0.3</v>
      </c>
      <c r="F7" s="12" t="s">
        <v>57</v>
      </c>
      <c r="G7" s="14">
        <f>Dashboard!$B$3</f>
        <v>1</v>
      </c>
      <c r="H7" s="14">
        <f>MAX(Dashboard!$B$4,G7*E7)</f>
        <v>0.49</v>
      </c>
      <c r="I7" s="14">
        <v>1.0</v>
      </c>
      <c r="J7" s="15">
        <f>IFERROR(__xludf.DUMMYFUNCTION("GOOGLEFINANCE(""CURRENCY:USDAMD"")"),368.0783)</f>
        <v>368.0783</v>
      </c>
      <c r="K7" s="14">
        <f t="shared" si="1"/>
        <v>180.358367</v>
      </c>
      <c r="L7" s="16" t="s">
        <v>72</v>
      </c>
      <c r="M7" s="14">
        <f t="shared" si="2"/>
        <v>179.99</v>
      </c>
      <c r="N7" s="14">
        <f t="shared" si="3"/>
        <v>0.4889992157</v>
      </c>
      <c r="O7" s="17"/>
      <c r="P7" s="18">
        <f>IFERROR(__xludf.DUMMYFUNCTION("GOOGLEFINANCE(""CURRENCY:USDAMD"")"),368.0783)</f>
        <v>368.0783</v>
      </c>
      <c r="Q7" s="17"/>
    </row>
    <row r="8" ht="22.5" customHeight="1">
      <c r="A8" s="12" t="s">
        <v>81</v>
      </c>
      <c r="B8" s="12" t="s">
        <v>81</v>
      </c>
      <c r="C8" s="12" t="s">
        <v>82</v>
      </c>
      <c r="D8" s="12" t="s">
        <v>83</v>
      </c>
      <c r="E8" s="13">
        <v>0.75</v>
      </c>
      <c r="F8" s="12" t="s">
        <v>26</v>
      </c>
      <c r="G8" s="14">
        <f>Dashboard!$B$3</f>
        <v>1</v>
      </c>
      <c r="H8" s="14">
        <f>MAX(Dashboard!$B$4,G8*E8)</f>
        <v>0.75</v>
      </c>
      <c r="I8" s="14">
        <v>1.0</v>
      </c>
      <c r="J8" s="15">
        <f>IFERROR(__xludf.DUMMYFUNCTION("GOOGLEFINANCE(""CURRENCY:USDAWG"")"),1.8025)</f>
        <v>1.8025</v>
      </c>
      <c r="K8" s="14">
        <f t="shared" si="1"/>
        <v>1.351875</v>
      </c>
      <c r="L8" s="16" t="s">
        <v>84</v>
      </c>
      <c r="M8" s="14">
        <f t="shared" si="2"/>
        <v>0.99</v>
      </c>
      <c r="N8" s="14">
        <f t="shared" si="3"/>
        <v>0.5492371706</v>
      </c>
      <c r="O8" s="17"/>
      <c r="P8" s="18">
        <f>IFERROR(__xludf.DUMMYFUNCTION("GOOGLEFINANCE(""CURRENCY:USDAWG"")"),1.8025)</f>
        <v>1.8025</v>
      </c>
      <c r="Q8" s="17"/>
    </row>
    <row r="9" ht="22.5" customHeight="1">
      <c r="A9" s="12" t="s">
        <v>85</v>
      </c>
      <c r="B9" s="17" t="s">
        <v>86</v>
      </c>
      <c r="C9" s="12" t="s">
        <v>87</v>
      </c>
      <c r="D9" s="17" t="s">
        <v>88</v>
      </c>
      <c r="E9" s="19">
        <v>0.82</v>
      </c>
      <c r="F9" s="17" t="str">
        <f>IF(E9&gt;=0.8,"A",IF(E9&gt;=0.6,"B",IF(E9&gt;=0.4,"C",IF(E9&gt;=0.2,"D","E"))))</f>
        <v>A</v>
      </c>
      <c r="G9" s="14">
        <f>Dashboard!$B$3</f>
        <v>1</v>
      </c>
      <c r="H9" s="14">
        <f>MAX(Dashboard!$B$4,G9*E9)</f>
        <v>0.82</v>
      </c>
      <c r="I9" s="14">
        <v>1.0</v>
      </c>
      <c r="J9" s="20">
        <f>IFERROR(__xludf.DUMMYFUNCTION("GOOGLEFINANCE(""CURRENCY:USDAUD"")"),1.381082)</f>
        <v>1.381082</v>
      </c>
      <c r="K9" s="14">
        <f t="shared" si="1"/>
        <v>1.13248724</v>
      </c>
      <c r="L9" s="21" t="s">
        <v>89</v>
      </c>
      <c r="M9" s="14">
        <f t="shared" si="2"/>
        <v>0.99</v>
      </c>
      <c r="N9" s="14">
        <f t="shared" si="3"/>
        <v>0.7168292686</v>
      </c>
      <c r="O9" s="17" t="str">
        <f>IF(N9&lt;Dashboard!$B$4,"Below global min",IF(AND(E9&gt;=0.8,N9&lt;Dashboard!$B$5),"Raise high-PPP floor","OK"))</f>
        <v>Raise high-PPP floor</v>
      </c>
      <c r="P9" s="22">
        <f>IFERROR(__xludf.DUMMYFUNCTION("GOOGLEFINANCE(""CURRENCY:USDAUD"")"),1.381082)</f>
        <v>1.381082</v>
      </c>
      <c r="Q9" s="17"/>
    </row>
    <row r="10" ht="22.5" customHeight="1">
      <c r="A10" s="12" t="s">
        <v>90</v>
      </c>
      <c r="B10" s="12" t="s">
        <v>91</v>
      </c>
      <c r="C10" s="12" t="s">
        <v>92</v>
      </c>
      <c r="D10" s="12" t="s">
        <v>93</v>
      </c>
      <c r="E10" s="13">
        <v>0.86</v>
      </c>
      <c r="F10" s="12" t="s">
        <v>22</v>
      </c>
      <c r="G10" s="14">
        <f>Dashboard!$B$3</f>
        <v>1</v>
      </c>
      <c r="H10" s="14">
        <f>MAX(Dashboard!$B$4,G10*E10)</f>
        <v>0.86</v>
      </c>
      <c r="I10" s="14">
        <v>1.0</v>
      </c>
      <c r="J10" s="15">
        <f>IFERROR(__xludf.DUMMYFUNCTION("GOOGLEFINANCE(""CURRENCY:USDEUR"")"),0.8519)</f>
        <v>0.8519</v>
      </c>
      <c r="K10" s="14">
        <f t="shared" si="1"/>
        <v>0.732634</v>
      </c>
      <c r="L10" s="23"/>
      <c r="M10" s="14">
        <f t="shared" si="2"/>
        <v>0.73</v>
      </c>
      <c r="N10" s="14">
        <f t="shared" si="3"/>
        <v>0.8569080878</v>
      </c>
      <c r="O10" s="17"/>
      <c r="P10" s="18">
        <f>IFERROR(__xludf.DUMMYFUNCTION("GOOGLEFINANCE(""CURRENCY:USDEUR"")"),0.8519)</f>
        <v>0.8519</v>
      </c>
      <c r="Q10" s="17"/>
    </row>
    <row r="11" ht="22.5" customHeight="1">
      <c r="A11" s="12" t="s">
        <v>94</v>
      </c>
      <c r="B11" s="12" t="s">
        <v>95</v>
      </c>
      <c r="C11" s="12" t="s">
        <v>96</v>
      </c>
      <c r="D11" s="12" t="s">
        <v>97</v>
      </c>
      <c r="E11" s="13">
        <v>0.4</v>
      </c>
      <c r="F11" s="12" t="s">
        <v>57</v>
      </c>
      <c r="G11" s="14">
        <f>Dashboard!$B$3</f>
        <v>1</v>
      </c>
      <c r="H11" s="14">
        <f>MAX(Dashboard!$B$4,G11*E11)</f>
        <v>0.49</v>
      </c>
      <c r="I11" s="14">
        <v>1.0</v>
      </c>
      <c r="J11" s="15">
        <f>IFERROR(__xludf.DUMMYFUNCTION("GOOGLEFINANCE(""CURRENCY:USDAZN"")"),1.7)</f>
        <v>1.7</v>
      </c>
      <c r="K11" s="14">
        <f t="shared" si="1"/>
        <v>0.833</v>
      </c>
      <c r="L11" s="23"/>
      <c r="M11" s="14">
        <f t="shared" si="2"/>
        <v>0.83</v>
      </c>
      <c r="N11" s="14">
        <f t="shared" si="3"/>
        <v>0.4882352941</v>
      </c>
      <c r="O11" s="17"/>
      <c r="P11" s="18">
        <f>IFERROR(__xludf.DUMMYFUNCTION("GOOGLEFINANCE(""CURRENCY:USDAZN"")"),1.7)</f>
        <v>1.7</v>
      </c>
      <c r="Q11" s="17"/>
    </row>
    <row r="12" ht="22.5" customHeight="1">
      <c r="A12" s="12" t="s">
        <v>98</v>
      </c>
      <c r="B12" s="12" t="s">
        <v>99</v>
      </c>
      <c r="C12" s="12" t="s">
        <v>100</v>
      </c>
      <c r="D12" s="12" t="s">
        <v>101</v>
      </c>
      <c r="E12" s="13">
        <v>0.75</v>
      </c>
      <c r="F12" s="12" t="s">
        <v>26</v>
      </c>
      <c r="G12" s="14">
        <f>Dashboard!$B$3</f>
        <v>1</v>
      </c>
      <c r="H12" s="14">
        <f>MAX(Dashboard!$B$4,G12*E12)</f>
        <v>0.75</v>
      </c>
      <c r="I12" s="14">
        <v>1.0</v>
      </c>
      <c r="J12" s="15">
        <f>IFERROR(__xludf.DUMMYFUNCTION("GOOGLEFINANCE(""CURRENCY:USDBSD"")"),1.000136)</f>
        <v>1.000136</v>
      </c>
      <c r="K12" s="14">
        <f t="shared" si="1"/>
        <v>0.750102</v>
      </c>
      <c r="L12" s="23"/>
      <c r="M12" s="14">
        <f t="shared" si="2"/>
        <v>0.75</v>
      </c>
      <c r="N12" s="14">
        <f t="shared" si="3"/>
        <v>0.7498980139</v>
      </c>
      <c r="O12" s="17"/>
      <c r="P12" s="18">
        <f>IFERROR(__xludf.DUMMYFUNCTION("GOOGLEFINANCE(""CURRENCY:USDBSD"")"),1.000136)</f>
        <v>1.000136</v>
      </c>
      <c r="Q12" s="17"/>
    </row>
    <row r="13" ht="22.5" customHeight="1">
      <c r="A13" s="12" t="s">
        <v>102</v>
      </c>
      <c r="B13" s="12" t="s">
        <v>103</v>
      </c>
      <c r="C13" s="12" t="s">
        <v>104</v>
      </c>
      <c r="D13" s="12" t="s">
        <v>105</v>
      </c>
      <c r="E13" s="13">
        <v>0.85</v>
      </c>
      <c r="F13" s="12" t="s">
        <v>22</v>
      </c>
      <c r="G13" s="14">
        <f>Dashboard!$B$3</f>
        <v>1</v>
      </c>
      <c r="H13" s="14">
        <f>MAX(Dashboard!$B$4,G13*E13)</f>
        <v>0.85</v>
      </c>
      <c r="I13" s="14">
        <v>1.0</v>
      </c>
      <c r="J13" s="15">
        <f>IFERROR(__xludf.DUMMYFUNCTION("GOOGLEFINANCE(""CURRENCY:USDBHD"")"),0.3774469)</f>
        <v>0.3774469</v>
      </c>
      <c r="K13" s="14">
        <f t="shared" si="1"/>
        <v>0.320829865</v>
      </c>
      <c r="L13" s="23"/>
      <c r="M13" s="14">
        <f t="shared" si="2"/>
        <v>0.32</v>
      </c>
      <c r="N13" s="14">
        <f t="shared" si="3"/>
        <v>0.8478013729</v>
      </c>
      <c r="O13" s="17"/>
      <c r="P13" s="18">
        <f>IFERROR(__xludf.DUMMYFUNCTION("GOOGLEFINANCE(""CURRENCY:USDBHD"")"),0.3774469)</f>
        <v>0.3774469</v>
      </c>
      <c r="Q13" s="17"/>
    </row>
    <row r="14" ht="22.5" customHeight="1">
      <c r="A14" s="12" t="s">
        <v>106</v>
      </c>
      <c r="B14" s="12" t="s">
        <v>107</v>
      </c>
      <c r="C14" s="12" t="s">
        <v>108</v>
      </c>
      <c r="D14" s="12" t="s">
        <v>109</v>
      </c>
      <c r="E14" s="13">
        <v>0.15</v>
      </c>
      <c r="F14" s="12" t="s">
        <v>66</v>
      </c>
      <c r="G14" s="14">
        <f>Dashboard!$B$3</f>
        <v>1</v>
      </c>
      <c r="H14" s="14">
        <f>MAX(Dashboard!$B$4,G14*E14)</f>
        <v>0.49</v>
      </c>
      <c r="I14" s="14">
        <v>1.0</v>
      </c>
      <c r="J14" s="15">
        <f>IFERROR(__xludf.DUMMYFUNCTION("GOOGLEFINANCE(""CURRENCY:USDBDT"")"),122.9364)</f>
        <v>122.9364</v>
      </c>
      <c r="K14" s="14">
        <f t="shared" si="1"/>
        <v>60.238836</v>
      </c>
      <c r="L14" s="23"/>
      <c r="M14" s="14">
        <f t="shared" si="2"/>
        <v>60.24</v>
      </c>
      <c r="N14" s="14">
        <f t="shared" si="3"/>
        <v>0.4900094683</v>
      </c>
      <c r="O14" s="17"/>
      <c r="P14" s="18">
        <f>IFERROR(__xludf.DUMMYFUNCTION("GOOGLEFINANCE(""CURRENCY:USDBDT"")"),122.9364)</f>
        <v>122.9364</v>
      </c>
      <c r="Q14" s="17"/>
    </row>
    <row r="15" ht="22.5" customHeight="1">
      <c r="A15" s="12" t="s">
        <v>110</v>
      </c>
      <c r="B15" s="12" t="s">
        <v>110</v>
      </c>
      <c r="C15" s="12" t="s">
        <v>111</v>
      </c>
      <c r="D15" s="12" t="s">
        <v>112</v>
      </c>
      <c r="E15" s="13">
        <v>0.4</v>
      </c>
      <c r="F15" s="12" t="s">
        <v>57</v>
      </c>
      <c r="G15" s="14">
        <f>Dashboard!$B$3</f>
        <v>1</v>
      </c>
      <c r="H15" s="14">
        <f>MAX(Dashboard!$B$4,G15*E15)</f>
        <v>0.49</v>
      </c>
      <c r="I15" s="14">
        <v>1.0</v>
      </c>
      <c r="J15" s="15">
        <f>IFERROR(__xludf.DUMMYFUNCTION("GOOGLEFINANCE(""CURRENCY:USDBYN"")"),2.7962249999999997)</f>
        <v>2.796225</v>
      </c>
      <c r="K15" s="14">
        <f t="shared" si="1"/>
        <v>1.37015025</v>
      </c>
      <c r="L15" s="23"/>
      <c r="M15" s="14">
        <f t="shared" si="2"/>
        <v>1.37</v>
      </c>
      <c r="N15" s="14">
        <f t="shared" si="3"/>
        <v>0.4899462668</v>
      </c>
      <c r="O15" s="17"/>
      <c r="P15" s="18">
        <f>IFERROR(__xludf.DUMMYFUNCTION("GOOGLEFINANCE(""CURRENCY:USDBYN"")"),2.7962249999999997)</f>
        <v>2.796225</v>
      </c>
      <c r="Q15" s="17"/>
    </row>
    <row r="16" ht="22.5" customHeight="1">
      <c r="A16" s="12" t="s">
        <v>113</v>
      </c>
      <c r="B16" s="12" t="s">
        <v>114</v>
      </c>
      <c r="C16" s="12" t="s">
        <v>115</v>
      </c>
      <c r="D16" s="12" t="s">
        <v>93</v>
      </c>
      <c r="E16" s="13">
        <v>0.84</v>
      </c>
      <c r="F16" s="12" t="s">
        <v>22</v>
      </c>
      <c r="G16" s="14">
        <f>Dashboard!$B$3</f>
        <v>1</v>
      </c>
      <c r="H16" s="14">
        <f>MAX(Dashboard!$B$4,G16*E16)</f>
        <v>0.84</v>
      </c>
      <c r="I16" s="14">
        <v>1.0</v>
      </c>
      <c r="J16" s="15">
        <f>IFERROR(__xludf.DUMMYFUNCTION("GOOGLEFINANCE(""CURRENCY:USDEUR"")"),0.8519)</f>
        <v>0.8519</v>
      </c>
      <c r="K16" s="14">
        <f t="shared" si="1"/>
        <v>0.715596</v>
      </c>
      <c r="L16" s="23"/>
      <c r="M16" s="14">
        <f t="shared" si="2"/>
        <v>0.72</v>
      </c>
      <c r="N16" s="14">
        <f t="shared" si="3"/>
        <v>0.8451696208</v>
      </c>
      <c r="O16" s="17"/>
      <c r="P16" s="18">
        <f>IFERROR(__xludf.DUMMYFUNCTION("GOOGLEFINANCE(""CURRENCY:USDEUR"")"),0.8519)</f>
        <v>0.8519</v>
      </c>
      <c r="Q16" s="17"/>
    </row>
    <row r="17" ht="22.5" customHeight="1">
      <c r="A17" s="12" t="s">
        <v>116</v>
      </c>
      <c r="B17" s="12" t="s">
        <v>116</v>
      </c>
      <c r="C17" s="12" t="s">
        <v>117</v>
      </c>
      <c r="D17" s="12" t="s">
        <v>118</v>
      </c>
      <c r="E17" s="13">
        <v>0.35</v>
      </c>
      <c r="F17" s="12" t="s">
        <v>57</v>
      </c>
      <c r="G17" s="14">
        <f>Dashboard!$B$3</f>
        <v>1</v>
      </c>
      <c r="H17" s="14">
        <f>MAX(Dashboard!$B$4,G17*E17)</f>
        <v>0.49</v>
      </c>
      <c r="I17" s="14">
        <v>1.0</v>
      </c>
      <c r="J17" s="15">
        <f>IFERROR(__xludf.DUMMYFUNCTION("GOOGLEFINANCE(""CURRENCY:USDBZD"")"),2.011432)</f>
        <v>2.011432</v>
      </c>
      <c r="K17" s="14">
        <f t="shared" si="1"/>
        <v>0.98560168</v>
      </c>
      <c r="L17" s="23"/>
      <c r="M17" s="14">
        <f t="shared" si="2"/>
        <v>0.99</v>
      </c>
      <c r="N17" s="14">
        <f t="shared" si="3"/>
        <v>0.492186661</v>
      </c>
      <c r="O17" s="17"/>
      <c r="P17" s="18">
        <f>IFERROR(__xludf.DUMMYFUNCTION("GOOGLEFINANCE(""CURRENCY:USDBZD"")"),2.011432)</f>
        <v>2.011432</v>
      </c>
      <c r="Q17" s="17"/>
    </row>
    <row r="18" ht="22.5" customHeight="1">
      <c r="A18" s="12" t="s">
        <v>119</v>
      </c>
      <c r="B18" s="12" t="s">
        <v>119</v>
      </c>
      <c r="C18" s="12" t="s">
        <v>120</v>
      </c>
      <c r="D18" s="12" t="s">
        <v>121</v>
      </c>
      <c r="E18" s="13">
        <v>0.18</v>
      </c>
      <c r="F18" s="12" t="s">
        <v>66</v>
      </c>
      <c r="G18" s="14">
        <f>Dashboard!$B$3</f>
        <v>1</v>
      </c>
      <c r="H18" s="14">
        <f>MAX(Dashboard!$B$4,G18*E18)</f>
        <v>0.49</v>
      </c>
      <c r="I18" s="14">
        <v>1.0</v>
      </c>
      <c r="J18" s="15">
        <f>IFERROR(__xludf.DUMMYFUNCTION("GOOGLEFINANCE(""CURRENCY:USDXOF"")"),558.7654)</f>
        <v>558.7654</v>
      </c>
      <c r="K18" s="14">
        <f t="shared" si="1"/>
        <v>273.795046</v>
      </c>
      <c r="L18" s="23"/>
      <c r="M18" s="14">
        <f t="shared" si="2"/>
        <v>273.8</v>
      </c>
      <c r="N18" s="14">
        <f t="shared" si="3"/>
        <v>0.490008866</v>
      </c>
      <c r="O18" s="17"/>
      <c r="P18" s="18">
        <f>IFERROR(__xludf.DUMMYFUNCTION("GOOGLEFINANCE(""CURRENCY:USDXOF"")"),558.7654)</f>
        <v>558.7654</v>
      </c>
      <c r="Q18" s="17"/>
    </row>
    <row r="19" ht="22.5" customHeight="1">
      <c r="A19" s="12" t="s">
        <v>122</v>
      </c>
      <c r="B19" s="12" t="s">
        <v>122</v>
      </c>
      <c r="C19" s="12" t="s">
        <v>123</v>
      </c>
      <c r="D19" s="12" t="s">
        <v>124</v>
      </c>
      <c r="E19" s="13">
        <v>1.0</v>
      </c>
      <c r="F19" s="12" t="s">
        <v>22</v>
      </c>
      <c r="G19" s="14">
        <f>Dashboard!$B$3</f>
        <v>1</v>
      </c>
      <c r="H19" s="14">
        <f>MAX(Dashboard!$B$4,G19*E19)</f>
        <v>1</v>
      </c>
      <c r="I19" s="14">
        <v>1.0</v>
      </c>
      <c r="J19" s="15">
        <f>IFERROR(__xludf.DUMMYFUNCTION("GOOGLEFINANCE(""CURRENCY:USDBMD"")"),1.0)</f>
        <v>1</v>
      </c>
      <c r="K19" s="14">
        <f t="shared" si="1"/>
        <v>1</v>
      </c>
      <c r="L19" s="23"/>
      <c r="M19" s="14">
        <f t="shared" si="2"/>
        <v>1</v>
      </c>
      <c r="N19" s="14">
        <f t="shared" si="3"/>
        <v>1</v>
      </c>
      <c r="O19" s="17"/>
      <c r="P19" s="18">
        <f>IFERROR(__xludf.DUMMYFUNCTION("GOOGLEFINANCE(""CURRENCY:USDBMD"")"),1.0)</f>
        <v>1</v>
      </c>
      <c r="Q19" s="17"/>
    </row>
    <row r="20" ht="22.5" customHeight="1">
      <c r="A20" s="12" t="s">
        <v>125</v>
      </c>
      <c r="B20" s="12" t="s">
        <v>126</v>
      </c>
      <c r="C20" s="12" t="s">
        <v>127</v>
      </c>
      <c r="D20" s="12" t="s">
        <v>128</v>
      </c>
      <c r="E20" s="13">
        <v>0.3</v>
      </c>
      <c r="F20" s="12" t="s">
        <v>57</v>
      </c>
      <c r="G20" s="14">
        <f>Dashboard!$B$3</f>
        <v>1</v>
      </c>
      <c r="H20" s="14">
        <f>MAX(Dashboard!$B$4,G20*E20)</f>
        <v>0.49</v>
      </c>
      <c r="I20" s="14">
        <v>1.0</v>
      </c>
      <c r="J20" s="15">
        <f>IFERROR(__xludf.DUMMYFUNCTION("GOOGLEFINANCE(""CURRENCY:USDBOB"")"),6.910945)</f>
        <v>6.910945</v>
      </c>
      <c r="K20" s="14">
        <f t="shared" si="1"/>
        <v>3.38636305</v>
      </c>
      <c r="L20" s="23"/>
      <c r="M20" s="14">
        <f t="shared" si="2"/>
        <v>3.39</v>
      </c>
      <c r="N20" s="14">
        <f t="shared" si="3"/>
        <v>0.4905262594</v>
      </c>
      <c r="O20" s="17"/>
      <c r="P20" s="18">
        <f>IFERROR(__xludf.DUMMYFUNCTION("GOOGLEFINANCE(""CURRENCY:USDBOB"")"),6.910945)</f>
        <v>6.910945</v>
      </c>
      <c r="Q20" s="17"/>
    </row>
    <row r="21" ht="15.75" customHeight="1">
      <c r="A21" s="12" t="s">
        <v>129</v>
      </c>
      <c r="B21" s="24" t="s">
        <v>130</v>
      </c>
      <c r="C21" s="12" t="s">
        <v>131</v>
      </c>
      <c r="D21" s="12" t="s">
        <v>132</v>
      </c>
      <c r="E21" s="13">
        <v>0.45</v>
      </c>
      <c r="F21" s="12" t="s">
        <v>30</v>
      </c>
      <c r="G21" s="14">
        <f>Dashboard!$B$3</f>
        <v>1</v>
      </c>
      <c r="H21" s="14">
        <f>MAX(Dashboard!$B$4,G21*E21)</f>
        <v>0.49</v>
      </c>
      <c r="I21" s="14">
        <v>1.0</v>
      </c>
      <c r="J21" s="15">
        <f>IFERROR(__xludf.DUMMYFUNCTION("GOOGLEFINANCE(""CURRENCY:USDBAM"")"),1.6660139999999999)</f>
        <v>1.666014</v>
      </c>
      <c r="K21" s="14">
        <f t="shared" si="1"/>
        <v>0.81634686</v>
      </c>
      <c r="L21" s="23"/>
      <c r="M21" s="14">
        <f t="shared" si="2"/>
        <v>0.82</v>
      </c>
      <c r="N21" s="14">
        <f t="shared" si="3"/>
        <v>0.4921927427</v>
      </c>
      <c r="O21" s="17"/>
      <c r="P21" s="18">
        <f>IFERROR(__xludf.DUMMYFUNCTION("GOOGLEFINANCE(""CURRENCY:USDBAM"")"),1.6660139999999999)</f>
        <v>1.666014</v>
      </c>
      <c r="Q21" s="17"/>
    </row>
    <row r="22" ht="15.75" customHeight="1">
      <c r="A22" s="12" t="s">
        <v>133</v>
      </c>
      <c r="B22" s="12" t="s">
        <v>134</v>
      </c>
      <c r="C22" s="12" t="s">
        <v>135</v>
      </c>
      <c r="D22" s="12" t="s">
        <v>136</v>
      </c>
      <c r="E22" s="13">
        <v>0.4</v>
      </c>
      <c r="F22" s="12" t="s">
        <v>57</v>
      </c>
      <c r="G22" s="14">
        <f>Dashboard!$B$3</f>
        <v>1</v>
      </c>
      <c r="H22" s="14">
        <f>MAX(Dashboard!$B$4,G22*E22)</f>
        <v>0.49</v>
      </c>
      <c r="I22" s="14">
        <v>1.0</v>
      </c>
      <c r="J22" s="15">
        <f>IFERROR(__xludf.DUMMYFUNCTION("GOOGLEFINANCE(""CURRENCY:USDBWP"")"),13.49984)</f>
        <v>13.49984</v>
      </c>
      <c r="K22" s="14">
        <f t="shared" si="1"/>
        <v>6.6149216</v>
      </c>
      <c r="L22" s="23"/>
      <c r="M22" s="14">
        <f t="shared" si="2"/>
        <v>6.61</v>
      </c>
      <c r="N22" s="14">
        <f t="shared" si="3"/>
        <v>0.4896354327</v>
      </c>
      <c r="O22" s="17"/>
      <c r="P22" s="18">
        <f>IFERROR(__xludf.DUMMYFUNCTION("GOOGLEFINANCE(""CURRENCY:USDBWP"")"),13.49984)</f>
        <v>13.49984</v>
      </c>
      <c r="Q22" s="17"/>
    </row>
    <row r="23" ht="15.75" customHeight="1">
      <c r="A23" s="12" t="s">
        <v>137</v>
      </c>
      <c r="B23" s="17" t="s">
        <v>138</v>
      </c>
      <c r="C23" s="12" t="s">
        <v>139</v>
      </c>
      <c r="D23" s="17" t="s">
        <v>140</v>
      </c>
      <c r="E23" s="19">
        <v>0.35</v>
      </c>
      <c r="F23" s="17" t="str">
        <f>IF(E23&gt;=0.8,"A",IF(E23&gt;=0.6,"B",IF(E23&gt;=0.4,"C",IF(E23&gt;=0.2,"D","E"))))</f>
        <v>D</v>
      </c>
      <c r="G23" s="14">
        <f>Dashboard!$B$3</f>
        <v>1</v>
      </c>
      <c r="H23" s="14">
        <f>MAX(Dashboard!$B$4,G23*E23)</f>
        <v>0.49</v>
      </c>
      <c r="I23" s="25">
        <v>0.85</v>
      </c>
      <c r="J23" s="20">
        <f>IFERROR(__xludf.DUMMYFUNCTION("GOOGLEFINANCE(""CURRENCY:USDBRL"")"),4.9113)</f>
        <v>4.9113</v>
      </c>
      <c r="K23" s="14">
        <f t="shared" si="1"/>
        <v>2.04555645</v>
      </c>
      <c r="L23" s="21" t="s">
        <v>141</v>
      </c>
      <c r="M23" s="14">
        <f t="shared" si="2"/>
        <v>2.9</v>
      </c>
      <c r="N23" s="14">
        <f t="shared" si="3"/>
        <v>0.590475027</v>
      </c>
      <c r="O23" s="17" t="str">
        <f>IF(N23&lt;Dashboard!$B$4,"Below global min",IF(AND(E23&gt;=0.8,N23&lt;Dashboard!$B$5),"Raise high-PPP floor","OK"))</f>
        <v>OK</v>
      </c>
      <c r="P23" s="22">
        <f>IFERROR(__xludf.DUMMYFUNCTION("GOOGLEFINANCE(""CURRENCY:USDBRL"")"),4.9113)</f>
        <v>4.9113</v>
      </c>
      <c r="Q23" s="17"/>
    </row>
    <row r="24" ht="15.75" customHeight="1">
      <c r="A24" s="12" t="s">
        <v>142</v>
      </c>
      <c r="B24" s="12" t="s">
        <v>143</v>
      </c>
      <c r="C24" s="12" t="s">
        <v>144</v>
      </c>
      <c r="D24" s="12" t="s">
        <v>145</v>
      </c>
      <c r="E24" s="13">
        <v>0.4</v>
      </c>
      <c r="F24" s="12" t="s">
        <v>57</v>
      </c>
      <c r="G24" s="14">
        <f>Dashboard!$B$3</f>
        <v>1</v>
      </c>
      <c r="H24" s="14">
        <f>MAX(Dashboard!$B$4,G24*E24)</f>
        <v>0.49</v>
      </c>
      <c r="I24" s="14">
        <v>1.0</v>
      </c>
      <c r="J24" s="15" t="str">
        <f>IFERROR(__xludf.DUMMYFUNCTION("GOOGLEFINANCE(""CURRENCY:USDBGN"")"),"#N/A")</f>
        <v>#N/A</v>
      </c>
      <c r="K24" s="14" t="str">
        <f t="shared" si="1"/>
        <v>#N/A</v>
      </c>
      <c r="L24" s="23"/>
      <c r="M24" s="14" t="str">
        <f t="shared" si="2"/>
        <v>#N/A</v>
      </c>
      <c r="N24" s="14" t="str">
        <f t="shared" si="3"/>
        <v>#N/A</v>
      </c>
      <c r="O24" s="17"/>
      <c r="P24" s="18" t="str">
        <f>IFERROR(__xludf.DUMMYFUNCTION("GOOGLEFINANCE(""CURRENCY:USDBGN"")"),"#N/A")</f>
        <v>#N/A</v>
      </c>
      <c r="Q24" s="17"/>
    </row>
    <row r="25" ht="15.75" customHeight="1">
      <c r="A25" s="12" t="s">
        <v>146</v>
      </c>
      <c r="B25" s="12" t="s">
        <v>146</v>
      </c>
      <c r="C25" s="12" t="s">
        <v>147</v>
      </c>
      <c r="D25" s="12" t="s">
        <v>121</v>
      </c>
      <c r="E25" s="13">
        <v>0.18</v>
      </c>
      <c r="F25" s="12" t="s">
        <v>66</v>
      </c>
      <c r="G25" s="14">
        <f>Dashboard!$B$3</f>
        <v>1</v>
      </c>
      <c r="H25" s="14">
        <f>MAX(Dashboard!$B$4,G25*E25)</f>
        <v>0.49</v>
      </c>
      <c r="I25" s="14">
        <v>1.0</v>
      </c>
      <c r="J25" s="15">
        <f>IFERROR(__xludf.DUMMYFUNCTION("GOOGLEFINANCE(""CURRENCY:USDXOF"")"),558.7654)</f>
        <v>558.7654</v>
      </c>
      <c r="K25" s="14">
        <f t="shared" si="1"/>
        <v>273.795046</v>
      </c>
      <c r="L25" s="23"/>
      <c r="M25" s="14">
        <f t="shared" si="2"/>
        <v>273.8</v>
      </c>
      <c r="N25" s="14">
        <f t="shared" si="3"/>
        <v>0.490008866</v>
      </c>
      <c r="O25" s="17"/>
      <c r="P25" s="18">
        <f>IFERROR(__xludf.DUMMYFUNCTION("GOOGLEFINANCE(""CURRENCY:USDXOF"")"),558.7654)</f>
        <v>558.7654</v>
      </c>
      <c r="Q25" s="17"/>
    </row>
    <row r="26" ht="15.75" customHeight="1">
      <c r="A26" s="12" t="s">
        <v>148</v>
      </c>
      <c r="B26" s="12" t="s">
        <v>148</v>
      </c>
      <c r="C26" s="12" t="s">
        <v>149</v>
      </c>
      <c r="D26" s="12" t="s">
        <v>150</v>
      </c>
      <c r="E26" s="13">
        <v>0.3</v>
      </c>
      <c r="F26" s="12" t="s">
        <v>57</v>
      </c>
      <c r="G26" s="14">
        <f>Dashboard!$B$3</f>
        <v>1</v>
      </c>
      <c r="H26" s="14">
        <f>MAX(Dashboard!$B$4,G26*E26)</f>
        <v>0.49</v>
      </c>
      <c r="I26" s="14">
        <v>1.0</v>
      </c>
      <c r="J26" s="15">
        <f>IFERROR(__xludf.DUMMYFUNCTION("GOOGLEFINANCE(""CURRENCY:USDCVE"")"),93.92769000000001)</f>
        <v>93.92769</v>
      </c>
      <c r="K26" s="14">
        <f t="shared" si="1"/>
        <v>46.0245681</v>
      </c>
      <c r="L26" s="23"/>
      <c r="M26" s="14">
        <f t="shared" si="2"/>
        <v>46.02</v>
      </c>
      <c r="N26" s="14">
        <f t="shared" si="3"/>
        <v>0.4899513658</v>
      </c>
      <c r="O26" s="17"/>
      <c r="P26" s="18">
        <f>IFERROR(__xludf.DUMMYFUNCTION("GOOGLEFINANCE(""CURRENCY:USDCVE"")"),93.92769000000001)</f>
        <v>93.92769</v>
      </c>
      <c r="Q26" s="17"/>
    </row>
    <row r="27" ht="15.75" customHeight="1">
      <c r="A27" s="12" t="s">
        <v>151</v>
      </c>
      <c r="B27" s="12" t="s">
        <v>152</v>
      </c>
      <c r="C27" s="12" t="s">
        <v>153</v>
      </c>
      <c r="D27" s="12" t="s">
        <v>154</v>
      </c>
      <c r="E27" s="13">
        <v>0.2</v>
      </c>
      <c r="F27" s="12" t="s">
        <v>66</v>
      </c>
      <c r="G27" s="14">
        <f>Dashboard!$B$3</f>
        <v>1</v>
      </c>
      <c r="H27" s="14">
        <f>MAX(Dashboard!$B$4,G27*E27)</f>
        <v>0.49</v>
      </c>
      <c r="I27" s="14">
        <v>1.0</v>
      </c>
      <c r="J27" s="15">
        <f>IFERROR(__xludf.DUMMYFUNCTION("GOOGLEFINANCE(""CURRENCY:USDKHR"")"),4012.13)</f>
        <v>4012.13</v>
      </c>
      <c r="K27" s="14">
        <f t="shared" si="1"/>
        <v>1965.9437</v>
      </c>
      <c r="L27" s="23"/>
      <c r="M27" s="14">
        <f t="shared" si="2"/>
        <v>1965.94</v>
      </c>
      <c r="N27" s="14">
        <f t="shared" si="3"/>
        <v>0.4899990778</v>
      </c>
      <c r="O27" s="17"/>
      <c r="P27" s="18">
        <f>IFERROR(__xludf.DUMMYFUNCTION("GOOGLEFINANCE(""CURRENCY:USDKHR"")"),4012.13)</f>
        <v>4012.13</v>
      </c>
      <c r="Q27" s="17"/>
    </row>
    <row r="28" ht="15.75" customHeight="1">
      <c r="A28" s="12" t="s">
        <v>155</v>
      </c>
      <c r="B28" s="12" t="s">
        <v>156</v>
      </c>
      <c r="C28" s="12" t="s">
        <v>157</v>
      </c>
      <c r="D28" s="12" t="s">
        <v>158</v>
      </c>
      <c r="E28" s="13">
        <v>0.12</v>
      </c>
      <c r="F28" s="12" t="s">
        <v>66</v>
      </c>
      <c r="G28" s="14">
        <f>Dashboard!$B$3</f>
        <v>1</v>
      </c>
      <c r="H28" s="14">
        <f>MAX(Dashboard!$B$4,G28*E28)</f>
        <v>0.49</v>
      </c>
      <c r="I28" s="14">
        <v>1.0</v>
      </c>
      <c r="J28" s="15">
        <f>IFERROR(__xludf.DUMMYFUNCTION("GOOGLEFINANCE(""CURRENCY:USDXAF"")"),558.7654)</f>
        <v>558.7654</v>
      </c>
      <c r="K28" s="14">
        <f t="shared" si="1"/>
        <v>273.795046</v>
      </c>
      <c r="L28" s="23"/>
      <c r="M28" s="14">
        <f t="shared" si="2"/>
        <v>273.8</v>
      </c>
      <c r="N28" s="14">
        <f t="shared" si="3"/>
        <v>0.490008866</v>
      </c>
      <c r="O28" s="17"/>
      <c r="P28" s="18">
        <f>IFERROR(__xludf.DUMMYFUNCTION("GOOGLEFINANCE(""CURRENCY:USDXAF"")"),558.7654)</f>
        <v>558.7654</v>
      </c>
      <c r="Q28" s="17"/>
    </row>
    <row r="29" ht="15.75" customHeight="1">
      <c r="A29" s="12" t="s">
        <v>159</v>
      </c>
      <c r="B29" s="17" t="s">
        <v>160</v>
      </c>
      <c r="C29" s="12" t="s">
        <v>161</v>
      </c>
      <c r="D29" s="17" t="s">
        <v>162</v>
      </c>
      <c r="E29" s="19">
        <v>0.85</v>
      </c>
      <c r="F29" s="17" t="str">
        <f>IF(E29&gt;=0.8,"A",IF(E29&gt;=0.6,"B",IF(E29&gt;=0.4,"C",IF(E29&gt;=0.2,"D","E"))))</f>
        <v>A</v>
      </c>
      <c r="G29" s="14">
        <f>Dashboard!$B$3</f>
        <v>1</v>
      </c>
      <c r="H29" s="14">
        <f>MAX(Dashboard!$B$4,G29*E29)</f>
        <v>0.85</v>
      </c>
      <c r="I29" s="14">
        <v>1.0</v>
      </c>
      <c r="J29" s="20">
        <f>IFERROR(__xludf.DUMMYFUNCTION("GOOGLEFINANCE(""CURRENCY:USDCAD"")"),1.369425)</f>
        <v>1.369425</v>
      </c>
      <c r="K29" s="14">
        <f t="shared" si="1"/>
        <v>1.16401125</v>
      </c>
      <c r="L29" s="21" t="s">
        <v>163</v>
      </c>
      <c r="M29" s="14">
        <f t="shared" si="2"/>
        <v>0.99</v>
      </c>
      <c r="N29" s="14">
        <f t="shared" si="3"/>
        <v>0.7229311572</v>
      </c>
      <c r="O29" s="17" t="str">
        <f>IF(N29&lt;Dashboard!$B$4,"Below global min",IF(AND(E29&gt;=0.8,N29&lt;Dashboard!$B$5),"Raise high-PPP floor","OK"))</f>
        <v>Raise high-PPP floor</v>
      </c>
      <c r="P29" s="22">
        <f>IFERROR(__xludf.DUMMYFUNCTION("GOOGLEFINANCE(""CURRENCY:USDCAD"")"),1.369425)</f>
        <v>1.369425</v>
      </c>
      <c r="Q29" s="17"/>
    </row>
    <row r="30" ht="15.75" customHeight="1">
      <c r="A30" s="12" t="s">
        <v>164</v>
      </c>
      <c r="B30" s="12" t="s">
        <v>165</v>
      </c>
      <c r="C30" s="12" t="s">
        <v>166</v>
      </c>
      <c r="D30" s="12" t="s">
        <v>167</v>
      </c>
      <c r="E30" s="13">
        <v>1.0</v>
      </c>
      <c r="F30" s="12" t="s">
        <v>22</v>
      </c>
      <c r="G30" s="14">
        <f>Dashboard!$B$3</f>
        <v>1</v>
      </c>
      <c r="H30" s="14">
        <f>MAX(Dashboard!$B$4,G30*E30)</f>
        <v>1</v>
      </c>
      <c r="I30" s="14">
        <v>1.0</v>
      </c>
      <c r="J30" s="15">
        <f>IFERROR(__xludf.DUMMYFUNCTION("GOOGLEFINANCE(""CURRENCY:USDKYD"")"),0.8334256)</f>
        <v>0.8334256</v>
      </c>
      <c r="K30" s="14">
        <f t="shared" si="1"/>
        <v>0.8334256</v>
      </c>
      <c r="L30" s="23"/>
      <c r="M30" s="14">
        <f t="shared" si="2"/>
        <v>0.83</v>
      </c>
      <c r="N30" s="14">
        <f t="shared" si="3"/>
        <v>0.9958897351</v>
      </c>
      <c r="O30" s="17"/>
      <c r="P30" s="18">
        <f>IFERROR(__xludf.DUMMYFUNCTION("GOOGLEFINANCE(""CURRENCY:USDKYD"")"),0.8334256)</f>
        <v>0.8334256</v>
      </c>
      <c r="Q30" s="17"/>
    </row>
    <row r="31" ht="15.75" customHeight="1">
      <c r="A31" s="12" t="s">
        <v>168</v>
      </c>
      <c r="B31" s="24" t="s">
        <v>169</v>
      </c>
      <c r="C31" s="12" t="s">
        <v>170</v>
      </c>
      <c r="D31" s="12" t="s">
        <v>158</v>
      </c>
      <c r="E31" s="13">
        <v>0.12</v>
      </c>
      <c r="F31" s="12" t="s">
        <v>66</v>
      </c>
      <c r="G31" s="14">
        <f>Dashboard!$B$3</f>
        <v>1</v>
      </c>
      <c r="H31" s="14">
        <f>MAX(Dashboard!$B$4,G31*E31)</f>
        <v>0.49</v>
      </c>
      <c r="I31" s="14">
        <v>1.0</v>
      </c>
      <c r="J31" s="15">
        <f>IFERROR(__xludf.DUMMYFUNCTION("GOOGLEFINANCE(""CURRENCY:USDXAF"")"),558.7654)</f>
        <v>558.7654</v>
      </c>
      <c r="K31" s="14">
        <f t="shared" si="1"/>
        <v>273.795046</v>
      </c>
      <c r="L31" s="23"/>
      <c r="M31" s="14">
        <f t="shared" si="2"/>
        <v>273.8</v>
      </c>
      <c r="N31" s="14">
        <f t="shared" si="3"/>
        <v>0.490008866</v>
      </c>
      <c r="O31" s="17"/>
      <c r="P31" s="18">
        <f>IFERROR(__xludf.DUMMYFUNCTION("GOOGLEFINANCE(""CURRENCY:USDXAF"")"),558.7654)</f>
        <v>558.7654</v>
      </c>
      <c r="Q31" s="17"/>
    </row>
    <row r="32" ht="15.75" customHeight="1">
      <c r="A32" s="12" t="s">
        <v>171</v>
      </c>
      <c r="B32" s="12" t="s">
        <v>172</v>
      </c>
      <c r="C32" s="12" t="s">
        <v>173</v>
      </c>
      <c r="D32" s="12" t="s">
        <v>158</v>
      </c>
      <c r="E32" s="13">
        <v>0.12</v>
      </c>
      <c r="F32" s="12" t="s">
        <v>66</v>
      </c>
      <c r="G32" s="14">
        <f>Dashboard!$B$3</f>
        <v>1</v>
      </c>
      <c r="H32" s="14">
        <f>MAX(Dashboard!$B$4,G32*E32)</f>
        <v>0.49</v>
      </c>
      <c r="I32" s="14">
        <v>1.0</v>
      </c>
      <c r="J32" s="15">
        <f>IFERROR(__xludf.DUMMYFUNCTION("GOOGLEFINANCE(""CURRENCY:USDXAF"")"),558.7654)</f>
        <v>558.7654</v>
      </c>
      <c r="K32" s="14">
        <f t="shared" si="1"/>
        <v>273.795046</v>
      </c>
      <c r="L32" s="23"/>
      <c r="M32" s="14">
        <f t="shared" si="2"/>
        <v>273.8</v>
      </c>
      <c r="N32" s="14">
        <f t="shared" si="3"/>
        <v>0.490008866</v>
      </c>
      <c r="O32" s="17"/>
      <c r="P32" s="18">
        <f>IFERROR(__xludf.DUMMYFUNCTION("GOOGLEFINANCE(""CURRENCY:USDXAF"")"),558.7654)</f>
        <v>558.7654</v>
      </c>
      <c r="Q32" s="17"/>
    </row>
    <row r="33" ht="15.75" customHeight="1">
      <c r="A33" s="12" t="s">
        <v>174</v>
      </c>
      <c r="B33" s="12" t="s">
        <v>175</v>
      </c>
      <c r="C33" s="12" t="s">
        <v>176</v>
      </c>
      <c r="D33" s="12" t="s">
        <v>177</v>
      </c>
      <c r="E33" s="13">
        <v>0.6</v>
      </c>
      <c r="F33" s="12" t="s">
        <v>30</v>
      </c>
      <c r="G33" s="14">
        <f>Dashboard!$B$3</f>
        <v>1</v>
      </c>
      <c r="H33" s="14">
        <f>MAX(Dashboard!$B$4,G33*E33)</f>
        <v>0.6</v>
      </c>
      <c r="I33" s="14">
        <v>1.0</v>
      </c>
      <c r="J33" s="15">
        <f>IFERROR(__xludf.DUMMYFUNCTION("GOOGLEFINANCE(""CURRENCY:USDCLP"")"),892.857143)</f>
        <v>892.857143</v>
      </c>
      <c r="K33" s="14">
        <f t="shared" si="1"/>
        <v>535.7142858</v>
      </c>
      <c r="L33" s="23"/>
      <c r="M33" s="14">
        <f t="shared" si="2"/>
        <v>535.71</v>
      </c>
      <c r="N33" s="14">
        <f t="shared" si="3"/>
        <v>0.5999951999</v>
      </c>
      <c r="O33" s="17"/>
      <c r="P33" s="18">
        <f>IFERROR(__xludf.DUMMYFUNCTION("GOOGLEFINANCE(""CURRENCY:USDCLP"")"),892.857143)</f>
        <v>892.857143</v>
      </c>
      <c r="Q33" s="17"/>
    </row>
    <row r="34" ht="15.75" customHeight="1">
      <c r="A34" s="12" t="s">
        <v>178</v>
      </c>
      <c r="B34" s="12" t="s">
        <v>179</v>
      </c>
      <c r="C34" s="12" t="s">
        <v>180</v>
      </c>
      <c r="D34" s="12" t="s">
        <v>181</v>
      </c>
      <c r="E34" s="13">
        <v>0.38</v>
      </c>
      <c r="F34" s="12" t="s">
        <v>57</v>
      </c>
      <c r="G34" s="14">
        <f>Dashboard!$B$3</f>
        <v>1</v>
      </c>
      <c r="H34" s="14">
        <f>MAX(Dashboard!$B$4,G34*E34)</f>
        <v>0.49</v>
      </c>
      <c r="I34" s="14">
        <v>1.0</v>
      </c>
      <c r="J34" s="15">
        <f>IFERROR(__xludf.DUMMYFUNCTION("GOOGLEFINANCE(""CURRENCY:USDCOP"")"),3752.41843)</f>
        <v>3752.41843</v>
      </c>
      <c r="K34" s="14">
        <f t="shared" si="1"/>
        <v>1838.685031</v>
      </c>
      <c r="L34" s="23"/>
      <c r="M34" s="14">
        <f t="shared" si="2"/>
        <v>1838.69</v>
      </c>
      <c r="N34" s="14">
        <f t="shared" si="3"/>
        <v>0.4900013243</v>
      </c>
      <c r="O34" s="17"/>
      <c r="P34" s="18">
        <f>IFERROR(__xludf.DUMMYFUNCTION("GOOGLEFINANCE(""CURRENCY:USDCOP"")"),3752.41843)</f>
        <v>3752.41843</v>
      </c>
      <c r="Q34" s="17"/>
    </row>
    <row r="35" ht="15.75" customHeight="1">
      <c r="A35" s="12" t="s">
        <v>182</v>
      </c>
      <c r="B35" s="12" t="s">
        <v>183</v>
      </c>
      <c r="C35" s="12" t="s">
        <v>184</v>
      </c>
      <c r="D35" s="12" t="s">
        <v>185</v>
      </c>
      <c r="E35" s="13">
        <v>0.18</v>
      </c>
      <c r="F35" s="12" t="s">
        <v>66</v>
      </c>
      <c r="G35" s="14">
        <f>Dashboard!$B$3</f>
        <v>1</v>
      </c>
      <c r="H35" s="14">
        <f>MAX(Dashboard!$B$4,G35*E35)</f>
        <v>0.49</v>
      </c>
      <c r="I35" s="14">
        <v>1.0</v>
      </c>
      <c r="J35" s="15">
        <f>IFERROR(__xludf.DUMMYFUNCTION("GOOGLEFINANCE(""CURRENCY:USDKMF"")"),420.0)</f>
        <v>420</v>
      </c>
      <c r="K35" s="14">
        <f t="shared" si="1"/>
        <v>205.8</v>
      </c>
      <c r="L35" s="23"/>
      <c r="M35" s="14">
        <f t="shared" si="2"/>
        <v>205.8</v>
      </c>
      <c r="N35" s="14">
        <f t="shared" si="3"/>
        <v>0.49</v>
      </c>
      <c r="O35" s="17"/>
      <c r="P35" s="18">
        <f>IFERROR(__xludf.DUMMYFUNCTION("GOOGLEFINANCE(""CURRENCY:USDKMF"")"),420.0)</f>
        <v>420</v>
      </c>
      <c r="Q35" s="17"/>
    </row>
    <row r="36" ht="15.75" customHeight="1">
      <c r="A36" s="12" t="s">
        <v>186</v>
      </c>
      <c r="B36" s="12" t="s">
        <v>187</v>
      </c>
      <c r="C36" s="12" t="s">
        <v>188</v>
      </c>
      <c r="D36" s="12" t="s">
        <v>158</v>
      </c>
      <c r="E36" s="13">
        <v>0.22</v>
      </c>
      <c r="F36" s="12" t="s">
        <v>66</v>
      </c>
      <c r="G36" s="14">
        <f>Dashboard!$B$3</f>
        <v>1</v>
      </c>
      <c r="H36" s="14">
        <f>MAX(Dashboard!$B$4,G36*E36)</f>
        <v>0.49</v>
      </c>
      <c r="I36" s="14">
        <v>1.0</v>
      </c>
      <c r="J36" s="15">
        <f>IFERROR(__xludf.DUMMYFUNCTION("GOOGLEFINANCE(""CURRENCY:USDXAF"")"),558.7654)</f>
        <v>558.7654</v>
      </c>
      <c r="K36" s="14">
        <f t="shared" si="1"/>
        <v>273.795046</v>
      </c>
      <c r="L36" s="23"/>
      <c r="M36" s="14">
        <f t="shared" si="2"/>
        <v>273.8</v>
      </c>
      <c r="N36" s="14">
        <f t="shared" si="3"/>
        <v>0.490008866</v>
      </c>
      <c r="O36" s="17"/>
      <c r="P36" s="18">
        <f>IFERROR(__xludf.DUMMYFUNCTION("GOOGLEFINANCE(""CURRENCY:USDXAF"")"),558.7654)</f>
        <v>558.7654</v>
      </c>
      <c r="Q36" s="17"/>
    </row>
    <row r="37" ht="15.75" customHeight="1">
      <c r="A37" s="12" t="s">
        <v>189</v>
      </c>
      <c r="B37" s="24" t="s">
        <v>190</v>
      </c>
      <c r="C37" s="12" t="s">
        <v>191</v>
      </c>
      <c r="D37" s="12" t="s">
        <v>192</v>
      </c>
      <c r="E37" s="13">
        <v>0.15</v>
      </c>
      <c r="F37" s="12" t="s">
        <v>66</v>
      </c>
      <c r="G37" s="14">
        <f>Dashboard!$B$3</f>
        <v>1</v>
      </c>
      <c r="H37" s="14">
        <f>MAX(Dashboard!$B$4,G37*E37)</f>
        <v>0.49</v>
      </c>
      <c r="I37" s="14">
        <v>1.0</v>
      </c>
      <c r="J37" s="15">
        <f>IFERROR(__xludf.DUMMYFUNCTION("GOOGLEFINANCE(""CURRENCY:USDCDF"")"),2280.07117)</f>
        <v>2280.07117</v>
      </c>
      <c r="K37" s="14">
        <f t="shared" si="1"/>
        <v>1117.234873</v>
      </c>
      <c r="L37" s="23"/>
      <c r="M37" s="14">
        <f t="shared" si="2"/>
        <v>1117.23</v>
      </c>
      <c r="N37" s="14">
        <f t="shared" si="3"/>
        <v>0.4899978627</v>
      </c>
      <c r="O37" s="17"/>
      <c r="P37" s="18">
        <f>IFERROR(__xludf.DUMMYFUNCTION("GOOGLEFINANCE(""CURRENCY:USDCDF"")"),2280.07117)</f>
        <v>2280.07117</v>
      </c>
      <c r="Q37" s="17"/>
    </row>
    <row r="38" ht="15.75" customHeight="1">
      <c r="A38" s="12" t="s">
        <v>193</v>
      </c>
      <c r="B38" s="12" t="s">
        <v>194</v>
      </c>
      <c r="C38" s="12" t="s">
        <v>195</v>
      </c>
      <c r="D38" s="12" t="s">
        <v>196</v>
      </c>
      <c r="E38" s="13">
        <v>0.5</v>
      </c>
      <c r="F38" s="12" t="s">
        <v>30</v>
      </c>
      <c r="G38" s="14">
        <f>Dashboard!$B$3</f>
        <v>1</v>
      </c>
      <c r="H38" s="14">
        <f>MAX(Dashboard!$B$4,G38*E38)</f>
        <v>0.5</v>
      </c>
      <c r="I38" s="14">
        <v>1.0</v>
      </c>
      <c r="J38" s="15">
        <f>IFERROR(__xludf.DUMMYFUNCTION("GOOGLEFINANCE(""CURRENCY:USDCRC"")"),456.4117)</f>
        <v>456.4117</v>
      </c>
      <c r="K38" s="14">
        <f t="shared" si="1"/>
        <v>228.20585</v>
      </c>
      <c r="L38" s="23"/>
      <c r="M38" s="14">
        <f t="shared" si="2"/>
        <v>228.21</v>
      </c>
      <c r="N38" s="14">
        <f t="shared" si="3"/>
        <v>0.5000090927</v>
      </c>
      <c r="O38" s="17"/>
      <c r="P38" s="18">
        <f>IFERROR(__xludf.DUMMYFUNCTION("GOOGLEFINANCE(""CURRENCY:USDCRC"")"),456.4117)</f>
        <v>456.4117</v>
      </c>
      <c r="Q38" s="17"/>
    </row>
    <row r="39" ht="15.75" customHeight="1">
      <c r="A39" s="24" t="s">
        <v>197</v>
      </c>
      <c r="B39" s="12" t="s">
        <v>197</v>
      </c>
      <c r="C39" s="12" t="s">
        <v>198</v>
      </c>
      <c r="D39" s="12" t="s">
        <v>121</v>
      </c>
      <c r="E39" s="13">
        <v>0.25</v>
      </c>
      <c r="F39" s="12" t="s">
        <v>66</v>
      </c>
      <c r="G39" s="14">
        <f>Dashboard!$B$3</f>
        <v>1</v>
      </c>
      <c r="H39" s="14">
        <f>MAX(Dashboard!$B$4,G39*E39)</f>
        <v>0.49</v>
      </c>
      <c r="I39" s="14">
        <v>1.0</v>
      </c>
      <c r="J39" s="15">
        <f>IFERROR(__xludf.DUMMYFUNCTION("GOOGLEFINANCE(""CURRENCY:USDXOF"")"),558.7654)</f>
        <v>558.7654</v>
      </c>
      <c r="K39" s="14">
        <f t="shared" si="1"/>
        <v>273.795046</v>
      </c>
      <c r="L39" s="23"/>
      <c r="M39" s="14">
        <f t="shared" si="2"/>
        <v>273.8</v>
      </c>
      <c r="N39" s="14">
        <f t="shared" si="3"/>
        <v>0.490008866</v>
      </c>
      <c r="O39" s="17"/>
      <c r="P39" s="18">
        <f>IFERROR(__xludf.DUMMYFUNCTION("GOOGLEFINANCE(""CURRENCY:USDXOF"")"),558.7654)</f>
        <v>558.7654</v>
      </c>
      <c r="Q39" s="17"/>
    </row>
    <row r="40" ht="15.75" customHeight="1">
      <c r="A40" s="12" t="s">
        <v>199</v>
      </c>
      <c r="B40" s="12" t="s">
        <v>200</v>
      </c>
      <c r="C40" s="12" t="s">
        <v>201</v>
      </c>
      <c r="D40" s="12" t="s">
        <v>93</v>
      </c>
      <c r="E40" s="13">
        <v>0.55</v>
      </c>
      <c r="F40" s="12" t="s">
        <v>30</v>
      </c>
      <c r="G40" s="14">
        <f>Dashboard!$B$3</f>
        <v>1</v>
      </c>
      <c r="H40" s="14">
        <f>MAX(Dashboard!$B$4,G40*E40)</f>
        <v>0.55</v>
      </c>
      <c r="I40" s="14">
        <v>1.0</v>
      </c>
      <c r="J40" s="15">
        <f>IFERROR(__xludf.DUMMYFUNCTION("GOOGLEFINANCE(""CURRENCY:USDEUR"")"),0.8519)</f>
        <v>0.8519</v>
      </c>
      <c r="K40" s="14">
        <f t="shared" si="1"/>
        <v>0.468545</v>
      </c>
      <c r="L40" s="23"/>
      <c r="M40" s="14">
        <f t="shared" si="2"/>
        <v>0.47</v>
      </c>
      <c r="N40" s="14">
        <f t="shared" si="3"/>
        <v>0.5517079469</v>
      </c>
      <c r="O40" s="17"/>
      <c r="P40" s="18">
        <f>IFERROR(__xludf.DUMMYFUNCTION("GOOGLEFINANCE(""CURRENCY:USDEUR"")"),0.8519)</f>
        <v>0.8519</v>
      </c>
      <c r="Q40" s="17"/>
    </row>
    <row r="41" ht="15.75" customHeight="1">
      <c r="A41" s="12" t="s">
        <v>202</v>
      </c>
      <c r="B41" s="12" t="s">
        <v>203</v>
      </c>
      <c r="C41" s="12" t="s">
        <v>204</v>
      </c>
      <c r="D41" s="12" t="s">
        <v>93</v>
      </c>
      <c r="E41" s="13">
        <v>0.7</v>
      </c>
      <c r="F41" s="12" t="s">
        <v>26</v>
      </c>
      <c r="G41" s="14">
        <f>Dashboard!$B$3</f>
        <v>1</v>
      </c>
      <c r="H41" s="14">
        <f>MAX(Dashboard!$B$4,G41*E41)</f>
        <v>0.7</v>
      </c>
      <c r="I41" s="14">
        <v>1.0</v>
      </c>
      <c r="J41" s="15">
        <f>IFERROR(__xludf.DUMMYFUNCTION("GOOGLEFINANCE(""CURRENCY:USDEUR"")"),0.8519)</f>
        <v>0.8519</v>
      </c>
      <c r="K41" s="14">
        <f t="shared" si="1"/>
        <v>0.59633</v>
      </c>
      <c r="L41" s="23"/>
      <c r="M41" s="14">
        <f t="shared" si="2"/>
        <v>0.6</v>
      </c>
      <c r="N41" s="14">
        <f t="shared" si="3"/>
        <v>0.7043080174</v>
      </c>
      <c r="O41" s="17"/>
      <c r="P41" s="18">
        <f>IFERROR(__xludf.DUMMYFUNCTION("GOOGLEFINANCE(""CURRENCY:USDEUR"")"),0.8519)</f>
        <v>0.8519</v>
      </c>
      <c r="Q41" s="17"/>
    </row>
    <row r="42" ht="15.75" customHeight="1">
      <c r="A42" s="12" t="s">
        <v>205</v>
      </c>
      <c r="B42" s="24" t="s">
        <v>206</v>
      </c>
      <c r="C42" s="12" t="s">
        <v>207</v>
      </c>
      <c r="D42" s="12" t="s">
        <v>208</v>
      </c>
      <c r="E42" s="13">
        <v>0.6</v>
      </c>
      <c r="F42" s="12" t="s">
        <v>30</v>
      </c>
      <c r="G42" s="14">
        <f>Dashboard!$B$3</f>
        <v>1</v>
      </c>
      <c r="H42" s="14">
        <f>MAX(Dashboard!$B$4,G42*E42)</f>
        <v>0.6</v>
      </c>
      <c r="I42" s="14">
        <v>1.0</v>
      </c>
      <c r="J42" s="15">
        <f>IFERROR(__xludf.DUMMYFUNCTION("GOOGLEFINANCE(""CURRENCY:USDCZK"")"),20.7329)</f>
        <v>20.7329</v>
      </c>
      <c r="K42" s="14">
        <f t="shared" si="1"/>
        <v>12.43974</v>
      </c>
      <c r="L42" s="23"/>
      <c r="M42" s="14">
        <f t="shared" si="2"/>
        <v>12.44</v>
      </c>
      <c r="N42" s="14">
        <f t="shared" si="3"/>
        <v>0.6000125405</v>
      </c>
      <c r="O42" s="17"/>
      <c r="P42" s="18">
        <f>IFERROR(__xludf.DUMMYFUNCTION("GOOGLEFINANCE(""CURRENCY:USDCZK"")"),20.7329)</f>
        <v>20.7329</v>
      </c>
      <c r="Q42" s="17"/>
    </row>
    <row r="43" ht="15.75" customHeight="1">
      <c r="A43" s="12" t="s">
        <v>209</v>
      </c>
      <c r="B43" s="12" t="s">
        <v>210</v>
      </c>
      <c r="C43" s="12" t="s">
        <v>211</v>
      </c>
      <c r="D43" s="12" t="s">
        <v>212</v>
      </c>
      <c r="E43" s="13">
        <v>0.92</v>
      </c>
      <c r="F43" s="12" t="s">
        <v>22</v>
      </c>
      <c r="G43" s="14">
        <f>Dashboard!$B$3</f>
        <v>1</v>
      </c>
      <c r="H43" s="14">
        <f>MAX(Dashboard!$B$4,G43*E43)</f>
        <v>0.92</v>
      </c>
      <c r="I43" s="14">
        <v>1.0</v>
      </c>
      <c r="J43" s="15">
        <f>IFERROR(__xludf.DUMMYFUNCTION("GOOGLEFINANCE(""CURRENCY:USDDKK"")"),6.36478)</f>
        <v>6.36478</v>
      </c>
      <c r="K43" s="14">
        <f t="shared" si="1"/>
        <v>5.8555976</v>
      </c>
      <c r="L43" s="23"/>
      <c r="M43" s="14">
        <f t="shared" si="2"/>
        <v>5.86</v>
      </c>
      <c r="N43" s="14">
        <f t="shared" si="3"/>
        <v>0.9206916814</v>
      </c>
      <c r="O43" s="17"/>
      <c r="P43" s="18">
        <f>IFERROR(__xludf.DUMMYFUNCTION("GOOGLEFINANCE(""CURRENCY:USDDKK"")"),6.36478)</f>
        <v>6.36478</v>
      </c>
      <c r="Q43" s="17"/>
    </row>
    <row r="44" ht="15.75" customHeight="1">
      <c r="A44" s="12" t="s">
        <v>213</v>
      </c>
      <c r="B44" s="12" t="s">
        <v>214</v>
      </c>
      <c r="C44" s="12" t="s">
        <v>215</v>
      </c>
      <c r="D44" s="12" t="s">
        <v>216</v>
      </c>
      <c r="E44" s="13">
        <v>0.25</v>
      </c>
      <c r="F44" s="12" t="s">
        <v>66</v>
      </c>
      <c r="G44" s="14">
        <f>Dashboard!$B$3</f>
        <v>1</v>
      </c>
      <c r="H44" s="14">
        <f>MAX(Dashboard!$B$4,G44*E44)</f>
        <v>0.49</v>
      </c>
      <c r="I44" s="14">
        <v>1.0</v>
      </c>
      <c r="J44" s="15">
        <f>IFERROR(__xludf.DUMMYFUNCTION("GOOGLEFINANCE(""CURRENCY:USDDJF"")"),178.0926)</f>
        <v>178.0926</v>
      </c>
      <c r="K44" s="14">
        <f t="shared" si="1"/>
        <v>87.265374</v>
      </c>
      <c r="L44" s="23"/>
      <c r="M44" s="14">
        <f t="shared" si="2"/>
        <v>87.27</v>
      </c>
      <c r="N44" s="14">
        <f t="shared" si="3"/>
        <v>0.4900259753</v>
      </c>
      <c r="O44" s="17"/>
      <c r="P44" s="18">
        <f>IFERROR(__xludf.DUMMYFUNCTION("GOOGLEFINANCE(""CURRENCY:USDDJF"")"),178.0926)</f>
        <v>178.0926</v>
      </c>
      <c r="Q44" s="17"/>
    </row>
    <row r="45" ht="15.75" customHeight="1">
      <c r="A45" s="12" t="s">
        <v>217</v>
      </c>
      <c r="B45" s="12" t="s">
        <v>218</v>
      </c>
      <c r="C45" s="12" t="s">
        <v>219</v>
      </c>
      <c r="D45" s="12" t="s">
        <v>71</v>
      </c>
      <c r="E45" s="13">
        <v>0.55</v>
      </c>
      <c r="F45" s="12" t="s">
        <v>30</v>
      </c>
      <c r="G45" s="14">
        <f>Dashboard!$B$3</f>
        <v>1</v>
      </c>
      <c r="H45" s="14">
        <f>MAX(Dashboard!$B$4,G45*E45)</f>
        <v>0.55</v>
      </c>
      <c r="I45" s="14">
        <v>1.0</v>
      </c>
      <c r="J45" s="15">
        <f>IFERROR(__xludf.DUMMYFUNCTION("GOOGLEFINANCE(""CURRENCY:USDXCD"")"),2.70255)</f>
        <v>2.70255</v>
      </c>
      <c r="K45" s="14">
        <f t="shared" si="1"/>
        <v>1.4864025</v>
      </c>
      <c r="L45" s="23"/>
      <c r="M45" s="14">
        <f t="shared" si="2"/>
        <v>1.49</v>
      </c>
      <c r="N45" s="14">
        <f t="shared" si="3"/>
        <v>0.5513311502</v>
      </c>
      <c r="O45" s="17"/>
      <c r="P45" s="18">
        <f>IFERROR(__xludf.DUMMYFUNCTION("GOOGLEFINANCE(""CURRENCY:USDXCD"")"),2.70255)</f>
        <v>2.70255</v>
      </c>
      <c r="Q45" s="17"/>
    </row>
    <row r="46" ht="15.75" customHeight="1">
      <c r="A46" s="12" t="s">
        <v>220</v>
      </c>
      <c r="B46" s="12" t="s">
        <v>221</v>
      </c>
      <c r="C46" s="12" t="s">
        <v>219</v>
      </c>
      <c r="D46" s="12" t="s">
        <v>222</v>
      </c>
      <c r="E46" s="13">
        <v>0.35</v>
      </c>
      <c r="F46" s="12" t="s">
        <v>57</v>
      </c>
      <c r="G46" s="14">
        <f>Dashboard!$B$3</f>
        <v>1</v>
      </c>
      <c r="H46" s="14">
        <f>MAX(Dashboard!$B$4,G46*E46)</f>
        <v>0.49</v>
      </c>
      <c r="I46" s="14">
        <v>1.0</v>
      </c>
      <c r="J46" s="15">
        <f>IFERROR(__xludf.DUMMYFUNCTION("GOOGLEFINANCE(""CURRENCY:USDDOP"")"),59.02346000000001)</f>
        <v>59.02346</v>
      </c>
      <c r="K46" s="14">
        <f t="shared" si="1"/>
        <v>28.9214954</v>
      </c>
      <c r="L46" s="23"/>
      <c r="M46" s="14">
        <f t="shared" si="2"/>
        <v>28.92</v>
      </c>
      <c r="N46" s="14">
        <f t="shared" si="3"/>
        <v>0.4899746643</v>
      </c>
      <c r="O46" s="17"/>
      <c r="P46" s="18">
        <f>IFERROR(__xludf.DUMMYFUNCTION("GOOGLEFINANCE(""CURRENCY:USDDOP"")"),59.02346000000001)</f>
        <v>59.02346</v>
      </c>
      <c r="Q46" s="17"/>
    </row>
    <row r="47" ht="15.75" customHeight="1">
      <c r="A47" s="12" t="s">
        <v>223</v>
      </c>
      <c r="B47" s="12" t="s">
        <v>224</v>
      </c>
      <c r="C47" s="12" t="s">
        <v>225</v>
      </c>
      <c r="D47" s="12" t="s">
        <v>226</v>
      </c>
      <c r="E47" s="13">
        <v>0.4</v>
      </c>
      <c r="F47" s="12" t="s">
        <v>57</v>
      </c>
      <c r="G47" s="14">
        <f>Dashboard!$B$3</f>
        <v>1</v>
      </c>
      <c r="H47" s="14">
        <f>MAX(Dashboard!$B$4,G47*E47)</f>
        <v>0.49</v>
      </c>
      <c r="I47" s="14">
        <v>1.0</v>
      </c>
      <c r="J47" s="15" t="str">
        <f>IFERROR(__xludf.DUMMYFUNCTION("GOOGLEFINANCE(""CURRENCY:USDUSD"")"),"#N/A")</f>
        <v>#N/A</v>
      </c>
      <c r="K47" s="14" t="str">
        <f t="shared" si="1"/>
        <v>#N/A</v>
      </c>
      <c r="L47" s="23"/>
      <c r="M47" s="14" t="str">
        <f t="shared" si="2"/>
        <v>#N/A</v>
      </c>
      <c r="N47" s="14" t="str">
        <f t="shared" si="3"/>
        <v>#N/A</v>
      </c>
      <c r="O47" s="17"/>
      <c r="P47" s="18" t="str">
        <f>IFERROR(__xludf.DUMMYFUNCTION("GOOGLEFINANCE(""CURRENCY:USDUSD"")"),"#N/A")</f>
        <v>#N/A</v>
      </c>
      <c r="Q47" s="17"/>
    </row>
    <row r="48" ht="15.75" customHeight="1">
      <c r="A48" s="12" t="s">
        <v>227</v>
      </c>
      <c r="B48" s="24" t="s">
        <v>228</v>
      </c>
      <c r="C48" s="12" t="s">
        <v>229</v>
      </c>
      <c r="D48" s="12" t="s">
        <v>230</v>
      </c>
      <c r="E48" s="13">
        <v>0.25</v>
      </c>
      <c r="F48" s="12" t="s">
        <v>66</v>
      </c>
      <c r="G48" s="14">
        <f>Dashboard!$B$3</f>
        <v>1</v>
      </c>
      <c r="H48" s="14">
        <f>MAX(Dashboard!$B$4,G48*E48)</f>
        <v>0.49</v>
      </c>
      <c r="I48" s="14">
        <v>1.0</v>
      </c>
      <c r="J48" s="15">
        <f>IFERROR(__xludf.DUMMYFUNCTION("GOOGLEFINANCE(""CURRENCY:USDEGP"")"),52.9003)</f>
        <v>52.9003</v>
      </c>
      <c r="K48" s="14">
        <f t="shared" si="1"/>
        <v>25.921147</v>
      </c>
      <c r="L48" s="23"/>
      <c r="M48" s="14">
        <f t="shared" si="2"/>
        <v>25.92</v>
      </c>
      <c r="N48" s="14">
        <f t="shared" si="3"/>
        <v>0.4899783177</v>
      </c>
      <c r="O48" s="17"/>
      <c r="P48" s="18">
        <f>IFERROR(__xludf.DUMMYFUNCTION("GOOGLEFINANCE(""CURRENCY:USDEGP"")"),52.9003)</f>
        <v>52.9003</v>
      </c>
      <c r="Q48" s="17"/>
    </row>
    <row r="49" ht="15.75" customHeight="1">
      <c r="A49" s="12" t="s">
        <v>231</v>
      </c>
      <c r="B49" s="12" t="s">
        <v>231</v>
      </c>
      <c r="C49" s="12" t="s">
        <v>232</v>
      </c>
      <c r="D49" s="12" t="s">
        <v>233</v>
      </c>
      <c r="E49" s="13">
        <v>0.3</v>
      </c>
      <c r="F49" s="12" t="s">
        <v>57</v>
      </c>
      <c r="G49" s="14">
        <f>Dashboard!$B$3</f>
        <v>1</v>
      </c>
      <c r="H49" s="14">
        <f>MAX(Dashboard!$B$4,G49*E49)</f>
        <v>0.49</v>
      </c>
      <c r="I49" s="14">
        <v>1.0</v>
      </c>
      <c r="J49" s="15">
        <f>IFERROR(__xludf.DUMMYFUNCTION("GOOGLEFINANCE(""CURRENCY:USDSVC"")"),8.750798999999999)</f>
        <v>8.750799</v>
      </c>
      <c r="K49" s="14">
        <f t="shared" si="1"/>
        <v>4.28789151</v>
      </c>
      <c r="L49" s="23"/>
      <c r="M49" s="14">
        <f t="shared" si="2"/>
        <v>4.29</v>
      </c>
      <c r="N49" s="14">
        <f t="shared" si="3"/>
        <v>0.4902409483</v>
      </c>
      <c r="O49" s="17"/>
      <c r="P49" s="18">
        <f>IFERROR(__xludf.DUMMYFUNCTION("GOOGLEFINANCE(""CURRENCY:USDSVC"")"),8.750798999999999)</f>
        <v>8.750799</v>
      </c>
      <c r="Q49" s="17"/>
    </row>
    <row r="50" ht="15.75" customHeight="1">
      <c r="A50" s="12" t="s">
        <v>234</v>
      </c>
      <c r="B50" s="12" t="s">
        <v>235</v>
      </c>
      <c r="C50" s="12" t="s">
        <v>236</v>
      </c>
      <c r="D50" s="12" t="s">
        <v>237</v>
      </c>
      <c r="E50" s="13">
        <v>0.15</v>
      </c>
      <c r="F50" s="12" t="s">
        <v>66</v>
      </c>
      <c r="G50" s="14">
        <f>Dashboard!$B$3</f>
        <v>1</v>
      </c>
      <c r="H50" s="14">
        <f>MAX(Dashboard!$B$4,G50*E50)</f>
        <v>0.49</v>
      </c>
      <c r="I50" s="14">
        <v>1.0</v>
      </c>
      <c r="J50" s="15" t="str">
        <f>IFERROR(__xludf.DUMMYFUNCTION("GOOGLEFINANCE(""CURRENCY:USDERN"")"),"#N/A")</f>
        <v>#N/A</v>
      </c>
      <c r="K50" s="14" t="str">
        <f t="shared" si="1"/>
        <v>#N/A</v>
      </c>
      <c r="L50" s="23"/>
      <c r="M50" s="14" t="str">
        <f t="shared" si="2"/>
        <v>#N/A</v>
      </c>
      <c r="N50" s="14" t="str">
        <f t="shared" si="3"/>
        <v>#N/A</v>
      </c>
      <c r="O50" s="17"/>
      <c r="P50" s="18" t="str">
        <f>IFERROR(__xludf.DUMMYFUNCTION("GOOGLEFINANCE(""CURRENCY:USDERN"")"),"#N/A")</f>
        <v>#N/A</v>
      </c>
      <c r="Q50" s="17"/>
    </row>
    <row r="51" ht="15.75" customHeight="1">
      <c r="A51" s="12" t="s">
        <v>238</v>
      </c>
      <c r="B51" s="12" t="s">
        <v>239</v>
      </c>
      <c r="C51" s="12" t="s">
        <v>240</v>
      </c>
      <c r="D51" s="12" t="s">
        <v>93</v>
      </c>
      <c r="E51" s="13">
        <v>0.65</v>
      </c>
      <c r="F51" s="12" t="s">
        <v>26</v>
      </c>
      <c r="G51" s="14">
        <f>Dashboard!$B$3</f>
        <v>1</v>
      </c>
      <c r="H51" s="14">
        <f>MAX(Dashboard!$B$4,G51*E51)</f>
        <v>0.65</v>
      </c>
      <c r="I51" s="14">
        <v>1.0</v>
      </c>
      <c r="J51" s="15">
        <f>IFERROR(__xludf.DUMMYFUNCTION("GOOGLEFINANCE(""CURRENCY:USDEUR"")"),0.8519)</f>
        <v>0.8519</v>
      </c>
      <c r="K51" s="14">
        <f t="shared" si="1"/>
        <v>0.553735</v>
      </c>
      <c r="L51" s="23"/>
      <c r="M51" s="14">
        <f t="shared" si="2"/>
        <v>0.55</v>
      </c>
      <c r="N51" s="14">
        <f t="shared" si="3"/>
        <v>0.6456156826</v>
      </c>
      <c r="O51" s="17"/>
      <c r="P51" s="18">
        <f>IFERROR(__xludf.DUMMYFUNCTION("GOOGLEFINANCE(""CURRENCY:USDEUR"")"),0.8519)</f>
        <v>0.8519</v>
      </c>
      <c r="Q51" s="17"/>
    </row>
    <row r="52" ht="15.75" customHeight="1">
      <c r="A52" s="12" t="s">
        <v>241</v>
      </c>
      <c r="B52" s="12" t="s">
        <v>241</v>
      </c>
      <c r="C52" s="12" t="s">
        <v>242</v>
      </c>
      <c r="D52" s="12" t="s">
        <v>243</v>
      </c>
      <c r="E52" s="13">
        <v>0.4</v>
      </c>
      <c r="F52" s="12" t="s">
        <v>57</v>
      </c>
      <c r="G52" s="14">
        <f>Dashboard!$B$3</f>
        <v>1</v>
      </c>
      <c r="H52" s="14">
        <f>MAX(Dashboard!$B$4,G52*E52)</f>
        <v>0.49</v>
      </c>
      <c r="I52" s="14">
        <v>1.0</v>
      </c>
      <c r="J52" s="15">
        <f>IFERROR(__xludf.DUMMYFUNCTION("GOOGLEFINANCE(""CURRENCY:USDFJD"")"),2.1853499999999997)</f>
        <v>2.18535</v>
      </c>
      <c r="K52" s="14">
        <f t="shared" si="1"/>
        <v>1.0708215</v>
      </c>
      <c r="L52" s="23"/>
      <c r="M52" s="14">
        <f t="shared" si="2"/>
        <v>1.07</v>
      </c>
      <c r="N52" s="14">
        <f t="shared" si="3"/>
        <v>0.4896240877</v>
      </c>
      <c r="O52" s="17"/>
      <c r="P52" s="18">
        <f>IFERROR(__xludf.DUMMYFUNCTION("GOOGLEFINANCE(""CURRENCY:USDFJD"")"),2.1853499999999997)</f>
        <v>2.18535</v>
      </c>
      <c r="Q52" s="17"/>
    </row>
    <row r="53" ht="15.75" customHeight="1">
      <c r="A53" s="12" t="s">
        <v>244</v>
      </c>
      <c r="B53" s="12" t="s">
        <v>245</v>
      </c>
      <c r="C53" s="12" t="s">
        <v>246</v>
      </c>
      <c r="D53" s="12" t="s">
        <v>93</v>
      </c>
      <c r="E53" s="13">
        <v>0.85</v>
      </c>
      <c r="F53" s="12" t="s">
        <v>22</v>
      </c>
      <c r="G53" s="14">
        <f>Dashboard!$B$3</f>
        <v>1</v>
      </c>
      <c r="H53" s="14">
        <f>MAX(Dashboard!$B$4,G53*E53)</f>
        <v>0.85</v>
      </c>
      <c r="I53" s="14">
        <v>1.0</v>
      </c>
      <c r="J53" s="15">
        <f>IFERROR(__xludf.DUMMYFUNCTION("GOOGLEFINANCE(""CURRENCY:USDEUR"")"),0.8519)</f>
        <v>0.8519</v>
      </c>
      <c r="K53" s="14">
        <f t="shared" si="1"/>
        <v>0.724115</v>
      </c>
      <c r="L53" s="23"/>
      <c r="M53" s="14">
        <f t="shared" si="2"/>
        <v>0.72</v>
      </c>
      <c r="N53" s="14">
        <f t="shared" si="3"/>
        <v>0.8451696208</v>
      </c>
      <c r="O53" s="17"/>
      <c r="P53" s="18">
        <f>IFERROR(__xludf.DUMMYFUNCTION("GOOGLEFINANCE(""CURRENCY:USDEUR"")"),0.8519)</f>
        <v>0.8519</v>
      </c>
      <c r="Q53" s="17"/>
    </row>
    <row r="54" ht="15.75" customHeight="1">
      <c r="A54" s="12" t="s">
        <v>247</v>
      </c>
      <c r="B54" s="12" t="s">
        <v>248</v>
      </c>
      <c r="C54" s="12" t="s">
        <v>249</v>
      </c>
      <c r="D54" s="12" t="s">
        <v>93</v>
      </c>
      <c r="E54" s="13">
        <v>0.82</v>
      </c>
      <c r="F54" s="12" t="s">
        <v>22</v>
      </c>
      <c r="G54" s="14">
        <f>Dashboard!$B$3</f>
        <v>1</v>
      </c>
      <c r="H54" s="14">
        <f>MAX(Dashboard!$B$4,G54*E54)</f>
        <v>0.82</v>
      </c>
      <c r="I54" s="14">
        <v>1.0</v>
      </c>
      <c r="J54" s="15">
        <f>IFERROR(__xludf.DUMMYFUNCTION("GOOGLEFINANCE(""CURRENCY:USDEUR"")"),0.8519)</f>
        <v>0.8519</v>
      </c>
      <c r="K54" s="14">
        <f t="shared" si="1"/>
        <v>0.698558</v>
      </c>
      <c r="L54" s="23"/>
      <c r="M54" s="14">
        <f t="shared" si="2"/>
        <v>0.7</v>
      </c>
      <c r="N54" s="14">
        <f t="shared" si="3"/>
        <v>0.8216926869</v>
      </c>
      <c r="O54" s="17"/>
      <c r="P54" s="18">
        <f>IFERROR(__xludf.DUMMYFUNCTION("GOOGLEFINANCE(""CURRENCY:USDEUR"")"),0.8519)</f>
        <v>0.8519</v>
      </c>
      <c r="Q54" s="17"/>
    </row>
    <row r="55" ht="15.75" customHeight="1">
      <c r="A55" s="12" t="s">
        <v>250</v>
      </c>
      <c r="B55" s="12" t="s">
        <v>250</v>
      </c>
      <c r="C55" s="12" t="s">
        <v>251</v>
      </c>
      <c r="D55" s="12" t="s">
        <v>158</v>
      </c>
      <c r="E55" s="13">
        <v>0.4</v>
      </c>
      <c r="F55" s="12" t="s">
        <v>57</v>
      </c>
      <c r="G55" s="14">
        <f>Dashboard!$B$3</f>
        <v>1</v>
      </c>
      <c r="H55" s="14">
        <f>MAX(Dashboard!$B$4,G55*E55)</f>
        <v>0.49</v>
      </c>
      <c r="I55" s="14">
        <v>1.0</v>
      </c>
      <c r="J55" s="15">
        <f>IFERROR(__xludf.DUMMYFUNCTION("GOOGLEFINANCE(""CURRENCY:USDXAF"")"),558.7654)</f>
        <v>558.7654</v>
      </c>
      <c r="K55" s="14">
        <f t="shared" si="1"/>
        <v>273.795046</v>
      </c>
      <c r="L55" s="23"/>
      <c r="M55" s="14">
        <f t="shared" si="2"/>
        <v>273.8</v>
      </c>
      <c r="N55" s="14">
        <f t="shared" si="3"/>
        <v>0.490008866</v>
      </c>
      <c r="O55" s="17"/>
      <c r="P55" s="18">
        <f>IFERROR(__xludf.DUMMYFUNCTION("GOOGLEFINANCE(""CURRENCY:USDXAF"")"),558.7654)</f>
        <v>558.7654</v>
      </c>
      <c r="Q55" s="17"/>
    </row>
    <row r="56" ht="15.75" customHeight="1">
      <c r="A56" s="12" t="s">
        <v>252</v>
      </c>
      <c r="B56" s="12" t="s">
        <v>253</v>
      </c>
      <c r="C56" s="12" t="s">
        <v>254</v>
      </c>
      <c r="D56" s="12" t="s">
        <v>255</v>
      </c>
      <c r="E56" s="13">
        <v>0.18</v>
      </c>
      <c r="F56" s="12" t="s">
        <v>66</v>
      </c>
      <c r="G56" s="14">
        <f>Dashboard!$B$3</f>
        <v>1</v>
      </c>
      <c r="H56" s="14">
        <f>MAX(Dashboard!$B$4,G56*E56)</f>
        <v>0.49</v>
      </c>
      <c r="I56" s="14">
        <v>1.0</v>
      </c>
      <c r="J56" s="15">
        <f>IFERROR(__xludf.DUMMYFUNCTION("GOOGLEFINANCE(""CURRENCY:USDGMD"")"),73.5)</f>
        <v>73.5</v>
      </c>
      <c r="K56" s="14">
        <f t="shared" si="1"/>
        <v>36.015</v>
      </c>
      <c r="L56" s="23"/>
      <c r="M56" s="14">
        <f t="shared" si="2"/>
        <v>36.02</v>
      </c>
      <c r="N56" s="14">
        <f t="shared" si="3"/>
        <v>0.4900680272</v>
      </c>
      <c r="O56" s="17"/>
      <c r="P56" s="18">
        <f>IFERROR(__xludf.DUMMYFUNCTION("GOOGLEFINANCE(""CURRENCY:USDGMD"")"),73.5)</f>
        <v>73.5</v>
      </c>
      <c r="Q56" s="17"/>
    </row>
    <row r="57" ht="15.75" customHeight="1">
      <c r="A57" s="12" t="s">
        <v>256</v>
      </c>
      <c r="B57" s="12" t="s">
        <v>257</v>
      </c>
      <c r="C57" s="12" t="s">
        <v>258</v>
      </c>
      <c r="D57" s="12" t="s">
        <v>259</v>
      </c>
      <c r="E57" s="13">
        <v>0.35</v>
      </c>
      <c r="F57" s="12" t="s">
        <v>57</v>
      </c>
      <c r="G57" s="14">
        <f>Dashboard!$B$3</f>
        <v>1</v>
      </c>
      <c r="H57" s="14">
        <f>MAX(Dashboard!$B$4,G57*E57)</f>
        <v>0.49</v>
      </c>
      <c r="I57" s="14">
        <v>1.0</v>
      </c>
      <c r="J57" s="15">
        <f>IFERROR(__xludf.DUMMYFUNCTION("GOOGLEFINANCE(""CURRENCY:USDGEL"")"),2.67)</f>
        <v>2.67</v>
      </c>
      <c r="K57" s="14">
        <f t="shared" si="1"/>
        <v>1.3083</v>
      </c>
      <c r="L57" s="23"/>
      <c r="M57" s="14">
        <f t="shared" si="2"/>
        <v>1.31</v>
      </c>
      <c r="N57" s="14">
        <f t="shared" si="3"/>
        <v>0.4906367041</v>
      </c>
      <c r="O57" s="17"/>
      <c r="P57" s="18">
        <f>IFERROR(__xludf.DUMMYFUNCTION("GOOGLEFINANCE(""CURRENCY:USDGEL"")"),2.67)</f>
        <v>2.67</v>
      </c>
      <c r="Q57" s="17"/>
    </row>
    <row r="58" ht="15.75" customHeight="1">
      <c r="A58" s="12" t="s">
        <v>260</v>
      </c>
      <c r="B58" s="17" t="s">
        <v>261</v>
      </c>
      <c r="C58" s="12" t="s">
        <v>262</v>
      </c>
      <c r="D58" s="17" t="s">
        <v>93</v>
      </c>
      <c r="E58" s="19">
        <v>0.85</v>
      </c>
      <c r="F58" s="17" t="str">
        <f>IF(E58&gt;=0.8,"A",IF(E58&gt;=0.6,"B",IF(E58&gt;=0.4,"C",IF(E58&gt;=0.2,"D","E"))))</f>
        <v>A</v>
      </c>
      <c r="G58" s="14">
        <f>Dashboard!$B$3</f>
        <v>1</v>
      </c>
      <c r="H58" s="14">
        <f>MAX(Dashboard!$B$4,G58*E58)</f>
        <v>0.85</v>
      </c>
      <c r="I58" s="14">
        <v>1.0</v>
      </c>
      <c r="J58" s="20">
        <f>IFERROR(__xludf.DUMMYFUNCTION("GOOGLEFINANCE(""CURRENCY:USDEUR"")"),0.8519)</f>
        <v>0.8519</v>
      </c>
      <c r="K58" s="14">
        <f t="shared" si="1"/>
        <v>0.724115</v>
      </c>
      <c r="L58" s="21" t="s">
        <v>263</v>
      </c>
      <c r="M58" s="14">
        <f t="shared" si="2"/>
        <v>0.99</v>
      </c>
      <c r="N58" s="14">
        <f t="shared" si="3"/>
        <v>1.162108229</v>
      </c>
      <c r="O58" s="17" t="str">
        <f>IF(N58&lt;Dashboard!$B$4,"Below global min",IF(AND(E58&gt;=0.8,N58&lt;Dashboard!$B$5),"Raise high-PPP floor","OK"))</f>
        <v>Raise high-PPP floor</v>
      </c>
      <c r="P58" s="22">
        <f>IFERROR(__xludf.DUMMYFUNCTION("GOOGLEFINANCE(""CURRENCY:USDEUR"")"),0.8519)</f>
        <v>0.8519</v>
      </c>
      <c r="Q58" s="17" t="s">
        <v>264</v>
      </c>
    </row>
    <row r="59" ht="15.75" customHeight="1">
      <c r="A59" s="12" t="s">
        <v>265</v>
      </c>
      <c r="B59" s="12" t="s">
        <v>266</v>
      </c>
      <c r="C59" s="12" t="s">
        <v>267</v>
      </c>
      <c r="D59" s="12" t="s">
        <v>268</v>
      </c>
      <c r="E59" s="13">
        <v>0.22</v>
      </c>
      <c r="F59" s="12" t="s">
        <v>66</v>
      </c>
      <c r="G59" s="14">
        <f>Dashboard!$B$3</f>
        <v>1</v>
      </c>
      <c r="H59" s="14">
        <f>MAX(Dashboard!$B$4,G59*E59)</f>
        <v>0.49</v>
      </c>
      <c r="I59" s="14">
        <v>1.0</v>
      </c>
      <c r="J59" s="15">
        <f>IFERROR(__xludf.DUMMYFUNCTION("GOOGLEFINANCE(""CURRENCY:USDGHS"")"),11.29109)</f>
        <v>11.29109</v>
      </c>
      <c r="K59" s="14">
        <f t="shared" si="1"/>
        <v>5.5326341</v>
      </c>
      <c r="L59" s="23"/>
      <c r="M59" s="14">
        <f t="shared" si="2"/>
        <v>5.53</v>
      </c>
      <c r="N59" s="14">
        <f t="shared" si="3"/>
        <v>0.4897667099</v>
      </c>
      <c r="O59" s="17"/>
      <c r="P59" s="18">
        <f>IFERROR(__xludf.DUMMYFUNCTION("GOOGLEFINANCE(""CURRENCY:USDGHS"")"),11.29109)</f>
        <v>11.29109</v>
      </c>
      <c r="Q59" s="17"/>
    </row>
    <row r="60" ht="15.75" customHeight="1">
      <c r="A60" s="12" t="s">
        <v>269</v>
      </c>
      <c r="B60" s="12" t="s">
        <v>270</v>
      </c>
      <c r="C60" s="12" t="s">
        <v>271</v>
      </c>
      <c r="D60" s="12" t="s">
        <v>272</v>
      </c>
      <c r="E60" s="13">
        <v>0.9</v>
      </c>
      <c r="F60" s="12" t="s">
        <v>22</v>
      </c>
      <c r="G60" s="14">
        <f>Dashboard!$B$3</f>
        <v>1</v>
      </c>
      <c r="H60" s="14">
        <f>MAX(Dashboard!$B$4,G60*E60)</f>
        <v>0.9</v>
      </c>
      <c r="I60" s="14">
        <v>1.0</v>
      </c>
      <c r="J60" s="15" t="str">
        <f>IFERROR(__xludf.DUMMYFUNCTION("GOOGLEFINANCE(""CURRENCY:USDGIP"")"),"#N/A")</f>
        <v>#N/A</v>
      </c>
      <c r="K60" s="14" t="str">
        <f t="shared" si="1"/>
        <v>#N/A</v>
      </c>
      <c r="L60" s="23"/>
      <c r="M60" s="14" t="str">
        <f t="shared" si="2"/>
        <v>#N/A</v>
      </c>
      <c r="N60" s="14" t="str">
        <f t="shared" si="3"/>
        <v>#N/A</v>
      </c>
      <c r="O60" s="17"/>
      <c r="P60" s="18" t="str">
        <f>IFERROR(__xludf.DUMMYFUNCTION("GOOGLEFINANCE(""CURRENCY:USDGIP"")"),"#N/A")</f>
        <v>#N/A</v>
      </c>
      <c r="Q60" s="17"/>
    </row>
    <row r="61" ht="15.75" customHeight="1">
      <c r="A61" s="12" t="s">
        <v>273</v>
      </c>
      <c r="B61" s="12" t="s">
        <v>274</v>
      </c>
      <c r="C61" s="12" t="s">
        <v>275</v>
      </c>
      <c r="D61" s="12" t="s">
        <v>93</v>
      </c>
      <c r="E61" s="13">
        <v>0.65</v>
      </c>
      <c r="F61" s="12" t="s">
        <v>26</v>
      </c>
      <c r="G61" s="14">
        <f>Dashboard!$B$3</f>
        <v>1</v>
      </c>
      <c r="H61" s="14">
        <f>MAX(Dashboard!$B$4,G61*E61)</f>
        <v>0.65</v>
      </c>
      <c r="I61" s="14">
        <v>1.0</v>
      </c>
      <c r="J61" s="15">
        <f>IFERROR(__xludf.DUMMYFUNCTION("GOOGLEFINANCE(""CURRENCY:USDEUR"")"),0.8519)</f>
        <v>0.8519</v>
      </c>
      <c r="K61" s="14">
        <f t="shared" si="1"/>
        <v>0.553735</v>
      </c>
      <c r="L61" s="23"/>
      <c r="M61" s="14">
        <f t="shared" si="2"/>
        <v>0.55</v>
      </c>
      <c r="N61" s="14">
        <f t="shared" si="3"/>
        <v>0.6456156826</v>
      </c>
      <c r="O61" s="17"/>
      <c r="P61" s="18">
        <f>IFERROR(__xludf.DUMMYFUNCTION("GOOGLEFINANCE(""CURRENCY:USDEUR"")"),0.8519)</f>
        <v>0.8519</v>
      </c>
      <c r="Q61" s="17"/>
    </row>
    <row r="62" ht="15.75" customHeight="1">
      <c r="A62" s="12" t="s">
        <v>276</v>
      </c>
      <c r="B62" s="12" t="s">
        <v>276</v>
      </c>
      <c r="C62" s="12" t="s">
        <v>277</v>
      </c>
      <c r="D62" s="12" t="s">
        <v>71</v>
      </c>
      <c r="E62" s="13">
        <v>0.55</v>
      </c>
      <c r="F62" s="12" t="s">
        <v>30</v>
      </c>
      <c r="G62" s="14">
        <f>Dashboard!$B$3</f>
        <v>1</v>
      </c>
      <c r="H62" s="14">
        <f>MAX(Dashboard!$B$4,G62*E62)</f>
        <v>0.55</v>
      </c>
      <c r="I62" s="14">
        <v>1.0</v>
      </c>
      <c r="J62" s="15">
        <f>IFERROR(__xludf.DUMMYFUNCTION("GOOGLEFINANCE(""CURRENCY:USDXCD"")"),2.70255)</f>
        <v>2.70255</v>
      </c>
      <c r="K62" s="14">
        <f t="shared" si="1"/>
        <v>1.4864025</v>
      </c>
      <c r="L62" s="23"/>
      <c r="M62" s="14">
        <f t="shared" si="2"/>
        <v>1.49</v>
      </c>
      <c r="N62" s="14">
        <f t="shared" si="3"/>
        <v>0.5513311502</v>
      </c>
      <c r="O62" s="17"/>
      <c r="P62" s="18">
        <f>IFERROR(__xludf.DUMMYFUNCTION("GOOGLEFINANCE(""CURRENCY:USDXCD"")"),2.70255)</f>
        <v>2.70255</v>
      </c>
      <c r="Q62" s="17"/>
    </row>
    <row r="63" ht="15.75" customHeight="1">
      <c r="A63" s="12" t="s">
        <v>278</v>
      </c>
      <c r="B63" s="12" t="s">
        <v>278</v>
      </c>
      <c r="C63" s="12" t="s">
        <v>279</v>
      </c>
      <c r="D63" s="12" t="s">
        <v>280</v>
      </c>
      <c r="E63" s="13">
        <v>0.3</v>
      </c>
      <c r="F63" s="12" t="s">
        <v>57</v>
      </c>
      <c r="G63" s="14">
        <f>Dashboard!$B$3</f>
        <v>1</v>
      </c>
      <c r="H63" s="14">
        <f>MAX(Dashboard!$B$4,G63*E63)</f>
        <v>0.49</v>
      </c>
      <c r="I63" s="14">
        <v>1.0</v>
      </c>
      <c r="J63" s="15">
        <f>IFERROR(__xludf.DUMMYFUNCTION("GOOGLEFINANCE(""CURRENCY:USDGTQ"")"),7.630745999999999)</f>
        <v>7.630746</v>
      </c>
      <c r="K63" s="14">
        <f t="shared" si="1"/>
        <v>3.73906554</v>
      </c>
      <c r="L63" s="23"/>
      <c r="M63" s="14">
        <f t="shared" si="2"/>
        <v>3.74</v>
      </c>
      <c r="N63" s="14">
        <f t="shared" si="3"/>
        <v>0.4901224598</v>
      </c>
      <c r="O63" s="17"/>
      <c r="P63" s="18">
        <f>IFERROR(__xludf.DUMMYFUNCTION("GOOGLEFINANCE(""CURRENCY:USDGTQ"")"),7.630745999999999)</f>
        <v>7.630746</v>
      </c>
      <c r="Q63" s="17"/>
    </row>
    <row r="64" ht="15.75" customHeight="1">
      <c r="A64" s="12" t="s">
        <v>281</v>
      </c>
      <c r="B64" s="12" t="s">
        <v>282</v>
      </c>
      <c r="C64" s="12" t="s">
        <v>283</v>
      </c>
      <c r="D64" s="12" t="s">
        <v>284</v>
      </c>
      <c r="E64" s="13">
        <v>0.15</v>
      </c>
      <c r="F64" s="12" t="s">
        <v>66</v>
      </c>
      <c r="G64" s="14">
        <f>Dashboard!$B$3</f>
        <v>1</v>
      </c>
      <c r="H64" s="14">
        <f>MAX(Dashboard!$B$4,G64*E64)</f>
        <v>0.49</v>
      </c>
      <c r="I64" s="14">
        <v>1.0</v>
      </c>
      <c r="J64" s="15">
        <f>IFERROR(__xludf.DUMMYFUNCTION("GOOGLEFINANCE(""CURRENCY:USDGNF"")"),8775.576000000001)</f>
        <v>8775.576</v>
      </c>
      <c r="K64" s="14">
        <f t="shared" si="1"/>
        <v>4300.03224</v>
      </c>
      <c r="L64" s="23"/>
      <c r="M64" s="14">
        <f t="shared" si="2"/>
        <v>4300.03</v>
      </c>
      <c r="N64" s="14">
        <f t="shared" si="3"/>
        <v>0.4899997447</v>
      </c>
      <c r="O64" s="17"/>
      <c r="P64" s="18">
        <f>IFERROR(__xludf.DUMMYFUNCTION("GOOGLEFINANCE(""CURRENCY:USDGNF"")"),8775.576000000001)</f>
        <v>8775.576</v>
      </c>
      <c r="Q64" s="17"/>
    </row>
    <row r="65" ht="15.75" customHeight="1">
      <c r="A65" s="12" t="s">
        <v>285</v>
      </c>
      <c r="B65" s="24" t="s">
        <v>286</v>
      </c>
      <c r="C65" s="12" t="s">
        <v>287</v>
      </c>
      <c r="D65" s="12" t="s">
        <v>121</v>
      </c>
      <c r="E65" s="13">
        <v>0.15</v>
      </c>
      <c r="F65" s="12" t="s">
        <v>66</v>
      </c>
      <c r="G65" s="14">
        <f>Dashboard!$B$3</f>
        <v>1</v>
      </c>
      <c r="H65" s="14">
        <f>MAX(Dashboard!$B$4,G65*E65)</f>
        <v>0.49</v>
      </c>
      <c r="I65" s="14">
        <v>1.0</v>
      </c>
      <c r="J65" s="15">
        <f>IFERROR(__xludf.DUMMYFUNCTION("GOOGLEFINANCE(""CURRENCY:USDXOF"")"),558.7654)</f>
        <v>558.7654</v>
      </c>
      <c r="K65" s="14">
        <f t="shared" si="1"/>
        <v>273.795046</v>
      </c>
      <c r="L65" s="23"/>
      <c r="M65" s="14">
        <f t="shared" si="2"/>
        <v>273.8</v>
      </c>
      <c r="N65" s="14">
        <f t="shared" si="3"/>
        <v>0.490008866</v>
      </c>
      <c r="O65" s="17"/>
      <c r="P65" s="18">
        <f>IFERROR(__xludf.DUMMYFUNCTION("GOOGLEFINANCE(""CURRENCY:USDXOF"")"),558.7654)</f>
        <v>558.7654</v>
      </c>
      <c r="Q65" s="17"/>
    </row>
    <row r="66" ht="15.75" customHeight="1">
      <c r="A66" s="12" t="s">
        <v>288</v>
      </c>
      <c r="B66" s="12" t="s">
        <v>288</v>
      </c>
      <c r="C66" s="12" t="s">
        <v>289</v>
      </c>
      <c r="D66" s="12" t="s">
        <v>290</v>
      </c>
      <c r="E66" s="13">
        <v>0.15</v>
      </c>
      <c r="F66" s="12" t="s">
        <v>66</v>
      </c>
      <c r="G66" s="14">
        <f>Dashboard!$B$3</f>
        <v>1</v>
      </c>
      <c r="H66" s="14">
        <f>MAX(Dashboard!$B$4,G66*E66)</f>
        <v>0.49</v>
      </c>
      <c r="I66" s="14">
        <v>1.0</v>
      </c>
      <c r="J66" s="15">
        <f>IFERROR(__xludf.DUMMYFUNCTION("GOOGLEFINANCE(""CURRENCY:USDHTG"")"),130.6626)</f>
        <v>130.6626</v>
      </c>
      <c r="K66" s="14">
        <f t="shared" si="1"/>
        <v>64.024674</v>
      </c>
      <c r="L66" s="23"/>
      <c r="M66" s="14">
        <f t="shared" si="2"/>
        <v>64.02</v>
      </c>
      <c r="N66" s="14">
        <f t="shared" si="3"/>
        <v>0.4899642285</v>
      </c>
      <c r="O66" s="17"/>
      <c r="P66" s="18">
        <f>IFERROR(__xludf.DUMMYFUNCTION("GOOGLEFINANCE(""CURRENCY:USDHTG"")"),130.6626)</f>
        <v>130.6626</v>
      </c>
      <c r="Q66" s="17"/>
    </row>
    <row r="67" ht="15.75" customHeight="1">
      <c r="A67" s="12" t="s">
        <v>291</v>
      </c>
      <c r="B67" s="12" t="s">
        <v>291</v>
      </c>
      <c r="C67" s="12" t="s">
        <v>292</v>
      </c>
      <c r="D67" s="12" t="s">
        <v>293</v>
      </c>
      <c r="E67" s="13">
        <v>0.25</v>
      </c>
      <c r="F67" s="12" t="s">
        <v>66</v>
      </c>
      <c r="G67" s="14">
        <f>Dashboard!$B$3</f>
        <v>1</v>
      </c>
      <c r="H67" s="14">
        <f>MAX(Dashboard!$B$4,G67*E67)</f>
        <v>0.49</v>
      </c>
      <c r="I67" s="14">
        <v>1.0</v>
      </c>
      <c r="J67" s="15">
        <f>IFERROR(__xludf.DUMMYFUNCTION("GOOGLEFINANCE(""CURRENCY:USDHNL"")"),26.5942)</f>
        <v>26.5942</v>
      </c>
      <c r="K67" s="14">
        <f t="shared" si="1"/>
        <v>13.031158</v>
      </c>
      <c r="L67" s="23"/>
      <c r="M67" s="14">
        <f t="shared" si="2"/>
        <v>13.03</v>
      </c>
      <c r="N67" s="14">
        <f t="shared" si="3"/>
        <v>0.4899564567</v>
      </c>
      <c r="O67" s="17"/>
      <c r="P67" s="18">
        <f>IFERROR(__xludf.DUMMYFUNCTION("GOOGLEFINANCE(""CURRENCY:USDHNL"")"),26.5942)</f>
        <v>26.5942</v>
      </c>
      <c r="Q67" s="17"/>
    </row>
    <row r="68" ht="15.75" customHeight="1">
      <c r="A68" s="12" t="s">
        <v>294</v>
      </c>
      <c r="B68" s="12" t="s">
        <v>294</v>
      </c>
      <c r="C68" s="12" t="s">
        <v>295</v>
      </c>
      <c r="D68" s="12" t="s">
        <v>296</v>
      </c>
      <c r="E68" s="13">
        <v>0.95</v>
      </c>
      <c r="F68" s="12" t="s">
        <v>22</v>
      </c>
      <c r="G68" s="14">
        <f>Dashboard!$B$3</f>
        <v>1</v>
      </c>
      <c r="H68" s="14">
        <f>MAX(Dashboard!$B$4,G68*E68)</f>
        <v>0.95</v>
      </c>
      <c r="I68" s="14">
        <v>1.0</v>
      </c>
      <c r="J68" s="15">
        <f>IFERROR(__xludf.DUMMYFUNCTION("GOOGLEFINANCE(""CURRENCY:USDHKD"")"),7.82905)</f>
        <v>7.82905</v>
      </c>
      <c r="K68" s="14">
        <f t="shared" si="1"/>
        <v>7.4375975</v>
      </c>
      <c r="L68" s="23"/>
      <c r="M68" s="14">
        <f t="shared" si="2"/>
        <v>7.44</v>
      </c>
      <c r="N68" s="14">
        <f t="shared" si="3"/>
        <v>0.9503068699</v>
      </c>
      <c r="O68" s="17"/>
      <c r="P68" s="18">
        <f>IFERROR(__xludf.DUMMYFUNCTION("GOOGLEFINANCE(""CURRENCY:USDHKD"")"),7.82905)</f>
        <v>7.82905</v>
      </c>
      <c r="Q68" s="17"/>
    </row>
    <row r="69" ht="15.75" customHeight="1">
      <c r="A69" s="12" t="s">
        <v>297</v>
      </c>
      <c r="B69" s="24" t="s">
        <v>298</v>
      </c>
      <c r="C69" s="12" t="s">
        <v>299</v>
      </c>
      <c r="D69" s="12" t="s">
        <v>300</v>
      </c>
      <c r="E69" s="13">
        <v>0.5</v>
      </c>
      <c r="F69" s="12" t="s">
        <v>30</v>
      </c>
      <c r="G69" s="14">
        <f>Dashboard!$B$3</f>
        <v>1</v>
      </c>
      <c r="H69" s="14">
        <f>MAX(Dashboard!$B$4,G69*E69)</f>
        <v>0.5</v>
      </c>
      <c r="I69" s="14">
        <v>1.0</v>
      </c>
      <c r="J69" s="15">
        <f>IFERROR(__xludf.DUMMYFUNCTION("GOOGLEFINANCE(""CURRENCY:USDHUF"")"),304.6995)</f>
        <v>304.6995</v>
      </c>
      <c r="K69" s="14">
        <f t="shared" si="1"/>
        <v>152.34975</v>
      </c>
      <c r="L69" s="23"/>
      <c r="M69" s="14">
        <f t="shared" si="2"/>
        <v>152.35</v>
      </c>
      <c r="N69" s="14">
        <f t="shared" si="3"/>
        <v>0.5000008205</v>
      </c>
      <c r="O69" s="17"/>
      <c r="P69" s="18">
        <f>IFERROR(__xludf.DUMMYFUNCTION("GOOGLEFINANCE(""CURRENCY:USDHUF"")"),304.6995)</f>
        <v>304.6995</v>
      </c>
      <c r="Q69" s="17"/>
    </row>
    <row r="70" ht="15.75" customHeight="1">
      <c r="A70" s="12" t="s">
        <v>301</v>
      </c>
      <c r="B70" s="24" t="s">
        <v>302</v>
      </c>
      <c r="C70" s="12" t="s">
        <v>303</v>
      </c>
      <c r="D70" s="12" t="s">
        <v>304</v>
      </c>
      <c r="E70" s="13">
        <v>0.95</v>
      </c>
      <c r="F70" s="12" t="s">
        <v>22</v>
      </c>
      <c r="G70" s="14">
        <f>Dashboard!$B$3</f>
        <v>1</v>
      </c>
      <c r="H70" s="14">
        <f>MAX(Dashboard!$B$4,G70*E70)</f>
        <v>0.95</v>
      </c>
      <c r="I70" s="14">
        <v>1.0</v>
      </c>
      <c r="J70" s="15">
        <f>IFERROR(__xludf.DUMMYFUNCTION("GOOGLEFINANCE(""CURRENCY:USDISK"")"),122.34)</f>
        <v>122.34</v>
      </c>
      <c r="K70" s="14">
        <f t="shared" si="1"/>
        <v>116.223</v>
      </c>
      <c r="L70" s="23"/>
      <c r="M70" s="14">
        <f t="shared" si="2"/>
        <v>116.22</v>
      </c>
      <c r="N70" s="14">
        <f t="shared" si="3"/>
        <v>0.9499754782</v>
      </c>
      <c r="O70" s="17"/>
      <c r="P70" s="18">
        <f>IFERROR(__xludf.DUMMYFUNCTION("GOOGLEFINANCE(""CURRENCY:USDISK"")"),122.34)</f>
        <v>122.34</v>
      </c>
      <c r="Q70" s="17"/>
    </row>
    <row r="71" ht="15.75" customHeight="1">
      <c r="A71" s="12" t="s">
        <v>305</v>
      </c>
      <c r="B71" s="17" t="s">
        <v>306</v>
      </c>
      <c r="C71" s="12" t="s">
        <v>307</v>
      </c>
      <c r="D71" s="17" t="s">
        <v>308</v>
      </c>
      <c r="E71" s="19">
        <v>0.2</v>
      </c>
      <c r="F71" s="17" t="str">
        <f t="shared" ref="F71:F72" si="4">IF(E71&gt;=0.8,"A",IF(E71&gt;=0.6,"B",IF(E71&gt;=0.4,"C",IF(E71&gt;=0.2,"D","E"))))</f>
        <v>D</v>
      </c>
      <c r="G71" s="14">
        <f>Dashboard!$B$3</f>
        <v>1</v>
      </c>
      <c r="H71" s="14">
        <f>MAX(Dashboard!$B$4,G71*E71)</f>
        <v>0.49</v>
      </c>
      <c r="I71" s="25">
        <v>0.8</v>
      </c>
      <c r="J71" s="20">
        <f>IFERROR(__xludf.DUMMYFUNCTION("GOOGLEFINANCE(""CURRENCY:USDINR"")"),95.6405)</f>
        <v>95.6405</v>
      </c>
      <c r="K71" s="14">
        <f t="shared" si="1"/>
        <v>37.491076</v>
      </c>
      <c r="L71" s="21" t="s">
        <v>309</v>
      </c>
      <c r="M71" s="14">
        <f t="shared" si="2"/>
        <v>29</v>
      </c>
      <c r="N71" s="14">
        <f t="shared" si="3"/>
        <v>0.3032188247</v>
      </c>
      <c r="O71" s="17" t="str">
        <f>IF(N71&lt;Dashboard!$B$4,"Below global min",IF(AND(E71&gt;=0.8,N71&lt;Dashboard!$B$5),"Raise high-PPP floor","OK"))</f>
        <v>Below global min</v>
      </c>
      <c r="P71" s="22">
        <f>IFERROR(__xludf.DUMMYFUNCTION("GOOGLEFINANCE(""CURRENCY:USDINR"")"),95.6405)</f>
        <v>95.6405</v>
      </c>
      <c r="Q71" s="17" t="s">
        <v>310</v>
      </c>
    </row>
    <row r="72" ht="15.75" customHeight="1">
      <c r="A72" s="12" t="s">
        <v>311</v>
      </c>
      <c r="B72" s="17" t="s">
        <v>312</v>
      </c>
      <c r="C72" s="12" t="s">
        <v>313</v>
      </c>
      <c r="D72" s="17" t="s">
        <v>314</v>
      </c>
      <c r="E72" s="19">
        <v>0.25</v>
      </c>
      <c r="F72" s="17" t="str">
        <f t="shared" si="4"/>
        <v>D</v>
      </c>
      <c r="G72" s="14">
        <f>Dashboard!$B$3</f>
        <v>1</v>
      </c>
      <c r="H72" s="14">
        <f>MAX(Dashboard!$B$4,G72*E72)</f>
        <v>0.49</v>
      </c>
      <c r="I72" s="25">
        <v>0.8</v>
      </c>
      <c r="J72" s="20">
        <f>IFERROR(__xludf.DUMMYFUNCTION("GOOGLEFINANCE(""CURRENCY:USDIDR"")"),17547.0)</f>
        <v>17547</v>
      </c>
      <c r="K72" s="14">
        <f t="shared" si="1"/>
        <v>6878.424</v>
      </c>
      <c r="L72" s="21" t="s">
        <v>315</v>
      </c>
      <c r="M72" s="14">
        <f t="shared" si="2"/>
        <v>7000</v>
      </c>
      <c r="N72" s="14">
        <f t="shared" si="3"/>
        <v>0.3989285918</v>
      </c>
      <c r="O72" s="17" t="str">
        <f>IF(N72&lt;Dashboard!$B$4,"Below global min",IF(AND(E72&gt;=0.8,N72&lt;Dashboard!$B$5),"Raise high-PPP floor","OK"))</f>
        <v>Below global min</v>
      </c>
      <c r="P72" s="22">
        <f>IFERROR(__xludf.DUMMYFUNCTION("GOOGLEFINANCE(""CURRENCY:USDIDR"")"),17547.0)</f>
        <v>17547</v>
      </c>
      <c r="Q72" s="17"/>
    </row>
    <row r="73" ht="15.75" customHeight="1">
      <c r="A73" s="12" t="s">
        <v>316</v>
      </c>
      <c r="B73" s="12" t="s">
        <v>317</v>
      </c>
      <c r="C73" s="12" t="s">
        <v>318</v>
      </c>
      <c r="D73" s="12" t="s">
        <v>319</v>
      </c>
      <c r="E73" s="13">
        <v>0.3</v>
      </c>
      <c r="F73" s="12" t="s">
        <v>57</v>
      </c>
      <c r="G73" s="14">
        <f>Dashboard!$B$3</f>
        <v>1</v>
      </c>
      <c r="H73" s="14">
        <f>MAX(Dashboard!$B$4,G73*E73)</f>
        <v>0.49</v>
      </c>
      <c r="I73" s="14">
        <v>1.0</v>
      </c>
      <c r="J73" s="15">
        <f>IFERROR(__xludf.DUMMYFUNCTION("GOOGLEFINANCE(""CURRENCY:USDIQD"")"),1310.107)</f>
        <v>1310.107</v>
      </c>
      <c r="K73" s="14">
        <f t="shared" si="1"/>
        <v>641.95243</v>
      </c>
      <c r="L73" s="23"/>
      <c r="M73" s="14">
        <f t="shared" si="2"/>
        <v>641.95</v>
      </c>
      <c r="N73" s="14">
        <f t="shared" si="3"/>
        <v>0.4899981452</v>
      </c>
      <c r="O73" s="17"/>
      <c r="P73" s="18">
        <f>IFERROR(__xludf.DUMMYFUNCTION("GOOGLEFINANCE(""CURRENCY:USDIQD"")"),1310.107)</f>
        <v>1310.107</v>
      </c>
      <c r="Q73" s="17"/>
    </row>
    <row r="74" ht="15.75" customHeight="1">
      <c r="A74" s="12" t="s">
        <v>320</v>
      </c>
      <c r="B74" s="12" t="s">
        <v>321</v>
      </c>
      <c r="C74" s="12" t="s">
        <v>322</v>
      </c>
      <c r="D74" s="12" t="s">
        <v>93</v>
      </c>
      <c r="E74" s="13">
        <v>0.9</v>
      </c>
      <c r="F74" s="12" t="s">
        <v>22</v>
      </c>
      <c r="G74" s="14">
        <f>Dashboard!$B$3</f>
        <v>1</v>
      </c>
      <c r="H74" s="14">
        <f>MAX(Dashboard!$B$4,G74*E74)</f>
        <v>0.9</v>
      </c>
      <c r="I74" s="14">
        <v>1.0</v>
      </c>
      <c r="J74" s="15">
        <f>IFERROR(__xludf.DUMMYFUNCTION("GOOGLEFINANCE(""CURRENCY:USDEUR"")"),0.8519)</f>
        <v>0.8519</v>
      </c>
      <c r="K74" s="14">
        <f t="shared" si="1"/>
        <v>0.76671</v>
      </c>
      <c r="L74" s="23"/>
      <c r="M74" s="14">
        <f t="shared" si="2"/>
        <v>0.77</v>
      </c>
      <c r="N74" s="14">
        <f t="shared" si="3"/>
        <v>0.9038619556</v>
      </c>
      <c r="O74" s="17"/>
      <c r="P74" s="18">
        <f>IFERROR(__xludf.DUMMYFUNCTION("GOOGLEFINANCE(""CURRENCY:USDEUR"")"),0.8519)</f>
        <v>0.8519</v>
      </c>
      <c r="Q74" s="17"/>
    </row>
    <row r="75" ht="15.75" customHeight="1">
      <c r="A75" s="12" t="s">
        <v>323</v>
      </c>
      <c r="B75" s="12" t="s">
        <v>324</v>
      </c>
      <c r="C75" s="12" t="s">
        <v>325</v>
      </c>
      <c r="D75" s="12" t="s">
        <v>326</v>
      </c>
      <c r="E75" s="13">
        <v>0.9</v>
      </c>
      <c r="F75" s="12" t="s">
        <v>22</v>
      </c>
      <c r="G75" s="14">
        <f>Dashboard!$B$3</f>
        <v>1</v>
      </c>
      <c r="H75" s="14">
        <f>MAX(Dashboard!$B$4,G75*E75)</f>
        <v>0.9</v>
      </c>
      <c r="I75" s="14">
        <v>1.0</v>
      </c>
      <c r="J75" s="15">
        <f>IFERROR(__xludf.DUMMYFUNCTION("GOOGLEFINANCE(""CURRENCY:USDILS"")"),2.91395)</f>
        <v>2.91395</v>
      </c>
      <c r="K75" s="14">
        <f t="shared" si="1"/>
        <v>2.622555</v>
      </c>
      <c r="L75" s="23"/>
      <c r="M75" s="14">
        <f t="shared" si="2"/>
        <v>2.62</v>
      </c>
      <c r="N75" s="14">
        <f t="shared" si="3"/>
        <v>0.8991231833</v>
      </c>
      <c r="O75" s="17"/>
      <c r="P75" s="18">
        <f>IFERROR(__xludf.DUMMYFUNCTION("GOOGLEFINANCE(""CURRENCY:USDILS"")"),2.91395)</f>
        <v>2.91395</v>
      </c>
      <c r="Q75" s="17"/>
    </row>
    <row r="76" ht="15.75" customHeight="1">
      <c r="A76" s="12" t="s">
        <v>327</v>
      </c>
      <c r="B76" s="12" t="s">
        <v>328</v>
      </c>
      <c r="C76" s="12" t="s">
        <v>329</v>
      </c>
      <c r="D76" s="12" t="s">
        <v>93</v>
      </c>
      <c r="E76" s="13">
        <v>0.78</v>
      </c>
      <c r="F76" s="12" t="s">
        <v>26</v>
      </c>
      <c r="G76" s="14">
        <f>Dashboard!$B$3</f>
        <v>1</v>
      </c>
      <c r="H76" s="14">
        <f>MAX(Dashboard!$B$4,G76*E76)</f>
        <v>0.78</v>
      </c>
      <c r="I76" s="14">
        <v>1.0</v>
      </c>
      <c r="J76" s="15">
        <f>IFERROR(__xludf.DUMMYFUNCTION("GOOGLEFINANCE(""CURRENCY:USDEUR"")"),0.8519)</f>
        <v>0.8519</v>
      </c>
      <c r="K76" s="14">
        <f t="shared" si="1"/>
        <v>0.664482</v>
      </c>
      <c r="L76" s="23"/>
      <c r="M76" s="14">
        <f t="shared" si="2"/>
        <v>0.66</v>
      </c>
      <c r="N76" s="14">
        <f t="shared" si="3"/>
        <v>0.7747388191</v>
      </c>
      <c r="O76" s="17"/>
      <c r="P76" s="18">
        <f>IFERROR(__xludf.DUMMYFUNCTION("GOOGLEFINANCE(""CURRENCY:USDEUR"")"),0.8519)</f>
        <v>0.8519</v>
      </c>
      <c r="Q76" s="17"/>
    </row>
    <row r="77" ht="15.75" customHeight="1">
      <c r="A77" s="12" t="s">
        <v>330</v>
      </c>
      <c r="B77" s="12" t="s">
        <v>331</v>
      </c>
      <c r="C77" s="12" t="s">
        <v>332</v>
      </c>
      <c r="D77" s="12" t="s">
        <v>333</v>
      </c>
      <c r="E77" s="13">
        <v>0.45</v>
      </c>
      <c r="F77" s="12" t="s">
        <v>30</v>
      </c>
      <c r="G77" s="14">
        <f>Dashboard!$B$3</f>
        <v>1</v>
      </c>
      <c r="H77" s="14">
        <f>MAX(Dashboard!$B$4,G77*E77)</f>
        <v>0.49</v>
      </c>
      <c r="I77" s="14">
        <v>1.0</v>
      </c>
      <c r="J77" s="15">
        <f>IFERROR(__xludf.DUMMYFUNCTION("GOOGLEFINANCE(""CURRENCY:USDJMD"")"),158.0319)</f>
        <v>158.0319</v>
      </c>
      <c r="K77" s="14">
        <f t="shared" si="1"/>
        <v>77.435631</v>
      </c>
      <c r="L77" s="23"/>
      <c r="M77" s="14">
        <f t="shared" si="2"/>
        <v>77.44</v>
      </c>
      <c r="N77" s="14">
        <f t="shared" si="3"/>
        <v>0.4900276463</v>
      </c>
      <c r="O77" s="17"/>
      <c r="P77" s="18">
        <f>IFERROR(__xludf.DUMMYFUNCTION("GOOGLEFINANCE(""CURRENCY:USDJMD"")"),158.0319)</f>
        <v>158.0319</v>
      </c>
      <c r="Q77" s="17"/>
    </row>
    <row r="78" ht="15.75" customHeight="1">
      <c r="A78" s="12" t="s">
        <v>334</v>
      </c>
      <c r="B78" s="17" t="s">
        <v>335</v>
      </c>
      <c r="C78" s="12" t="s">
        <v>336</v>
      </c>
      <c r="D78" s="17" t="s">
        <v>337</v>
      </c>
      <c r="E78" s="19">
        <v>0.75</v>
      </c>
      <c r="F78" s="17" t="str">
        <f>IF(E78&gt;=0.8,"A",IF(E78&gt;=0.6,"B",IF(E78&gt;=0.4,"C",IF(E78&gt;=0.2,"D","E"))))</f>
        <v>B</v>
      </c>
      <c r="G78" s="14">
        <f>Dashboard!$B$3</f>
        <v>1</v>
      </c>
      <c r="H78" s="14">
        <f>MAX(Dashboard!$B$4,G78*E78)</f>
        <v>0.75</v>
      </c>
      <c r="I78" s="14">
        <v>1.0</v>
      </c>
      <c r="J78" s="20">
        <f>IFERROR(__xludf.DUMMYFUNCTION("GOOGLEFINANCE(""CURRENCY:USDJPY"")"),157.6045)</f>
        <v>157.6045</v>
      </c>
      <c r="K78" s="14">
        <f t="shared" si="1"/>
        <v>118.203375</v>
      </c>
      <c r="L78" s="21" t="s">
        <v>338</v>
      </c>
      <c r="M78" s="14">
        <f t="shared" si="2"/>
        <v>100</v>
      </c>
      <c r="N78" s="14">
        <f t="shared" si="3"/>
        <v>0.6344996494</v>
      </c>
      <c r="O78" s="17" t="str">
        <f>IF(N78&lt;Dashboard!$B$4,"Below global min",IF(AND(E78&gt;=0.8,N78&lt;Dashboard!$B$5),"Raise high-PPP floor","OK"))</f>
        <v>OK</v>
      </c>
      <c r="P78" s="22">
        <f>IFERROR(__xludf.DUMMYFUNCTION("GOOGLEFINANCE(""CURRENCY:USDJPY"")"),157.6045)</f>
        <v>157.6045</v>
      </c>
      <c r="Q78" s="17"/>
    </row>
    <row r="79" ht="15.75" customHeight="1">
      <c r="A79" s="12" t="s">
        <v>339</v>
      </c>
      <c r="B79" s="12" t="s">
        <v>340</v>
      </c>
      <c r="C79" s="12" t="s">
        <v>341</v>
      </c>
      <c r="D79" s="12" t="s">
        <v>342</v>
      </c>
      <c r="E79" s="13">
        <v>0.45</v>
      </c>
      <c r="F79" s="12" t="s">
        <v>30</v>
      </c>
      <c r="G79" s="14">
        <f>Dashboard!$B$3</f>
        <v>1</v>
      </c>
      <c r="H79" s="14">
        <f>MAX(Dashboard!$B$4,G79*E79)</f>
        <v>0.49</v>
      </c>
      <c r="I79" s="14">
        <v>1.0</v>
      </c>
      <c r="J79" s="15">
        <f>IFERROR(__xludf.DUMMYFUNCTION("GOOGLEFINANCE(""CURRENCY:USDJOD"")"),0.709)</f>
        <v>0.709</v>
      </c>
      <c r="K79" s="14">
        <f t="shared" si="1"/>
        <v>0.34741</v>
      </c>
      <c r="L79" s="23"/>
      <c r="M79" s="14">
        <f t="shared" si="2"/>
        <v>0.35</v>
      </c>
      <c r="N79" s="14">
        <f t="shared" si="3"/>
        <v>0.4936530324</v>
      </c>
      <c r="O79" s="17"/>
      <c r="P79" s="18">
        <f>IFERROR(__xludf.DUMMYFUNCTION("GOOGLEFINANCE(""CURRENCY:USDJOD"")"),0.709)</f>
        <v>0.709</v>
      </c>
      <c r="Q79" s="17"/>
    </row>
    <row r="80" ht="15.75" customHeight="1">
      <c r="A80" s="12" t="s">
        <v>343</v>
      </c>
      <c r="B80" s="24" t="s">
        <v>344</v>
      </c>
      <c r="C80" s="12" t="s">
        <v>345</v>
      </c>
      <c r="D80" s="12" t="s">
        <v>346</v>
      </c>
      <c r="E80" s="13">
        <v>0.45</v>
      </c>
      <c r="F80" s="12" t="s">
        <v>30</v>
      </c>
      <c r="G80" s="14">
        <f>Dashboard!$B$3</f>
        <v>1</v>
      </c>
      <c r="H80" s="14">
        <f>MAX(Dashboard!$B$4,G80*E80)</f>
        <v>0.49</v>
      </c>
      <c r="I80" s="14">
        <v>1.0</v>
      </c>
      <c r="J80" s="15">
        <f>IFERROR(__xludf.DUMMYFUNCTION("GOOGLEFINANCE(""CURRENCY:USDKZT"")"),463.8784)</f>
        <v>463.8784</v>
      </c>
      <c r="K80" s="14">
        <f t="shared" si="1"/>
        <v>227.300416</v>
      </c>
      <c r="L80" s="23"/>
      <c r="M80" s="14">
        <f t="shared" si="2"/>
        <v>227.3</v>
      </c>
      <c r="N80" s="14">
        <f t="shared" si="3"/>
        <v>0.4899991032</v>
      </c>
      <c r="O80" s="17"/>
      <c r="P80" s="18">
        <f>IFERROR(__xludf.DUMMYFUNCTION("GOOGLEFINANCE(""CURRENCY:USDKZT"")"),463.8784)</f>
        <v>463.8784</v>
      </c>
      <c r="Q80" s="17"/>
    </row>
    <row r="81" ht="15.75" customHeight="1">
      <c r="A81" s="12" t="s">
        <v>347</v>
      </c>
      <c r="B81" s="12" t="s">
        <v>347</v>
      </c>
      <c r="C81" s="12" t="s">
        <v>348</v>
      </c>
      <c r="D81" s="12" t="s">
        <v>349</v>
      </c>
      <c r="E81" s="13">
        <v>0.22</v>
      </c>
      <c r="F81" s="12" t="s">
        <v>66</v>
      </c>
      <c r="G81" s="14">
        <f>Dashboard!$B$3</f>
        <v>1</v>
      </c>
      <c r="H81" s="14">
        <f>MAX(Dashboard!$B$4,G81*E81)</f>
        <v>0.49</v>
      </c>
      <c r="I81" s="14">
        <v>1.0</v>
      </c>
      <c r="J81" s="15">
        <f>IFERROR(__xludf.DUMMYFUNCTION("GOOGLEFINANCE(""CURRENCY:USDKES"")"),129.16)</f>
        <v>129.16</v>
      </c>
      <c r="K81" s="14">
        <f t="shared" si="1"/>
        <v>63.2884</v>
      </c>
      <c r="L81" s="23"/>
      <c r="M81" s="14">
        <f t="shared" si="2"/>
        <v>63.29</v>
      </c>
      <c r="N81" s="14">
        <f t="shared" si="3"/>
        <v>0.4900123877</v>
      </c>
      <c r="O81" s="17"/>
      <c r="P81" s="18">
        <f>IFERROR(__xludf.DUMMYFUNCTION("GOOGLEFINANCE(""CURRENCY:USDKES"")"),129.16)</f>
        <v>129.16</v>
      </c>
      <c r="Q81" s="17"/>
    </row>
    <row r="82" ht="15.75" customHeight="1">
      <c r="A82" s="12" t="s">
        <v>350</v>
      </c>
      <c r="B82" s="12" t="s">
        <v>351</v>
      </c>
      <c r="C82" s="12" t="s">
        <v>352</v>
      </c>
      <c r="D82" s="12" t="s">
        <v>353</v>
      </c>
      <c r="E82" s="13">
        <v>0.9</v>
      </c>
      <c r="F82" s="12" t="s">
        <v>22</v>
      </c>
      <c r="G82" s="14">
        <f>Dashboard!$B$3</f>
        <v>1</v>
      </c>
      <c r="H82" s="14">
        <f>MAX(Dashboard!$B$4,G82*E82)</f>
        <v>0.9</v>
      </c>
      <c r="I82" s="14">
        <v>1.0</v>
      </c>
      <c r="J82" s="15">
        <f>IFERROR(__xludf.DUMMYFUNCTION("GOOGLEFINANCE(""CURRENCY:USDKWD"")"),0.3081)</f>
        <v>0.3081</v>
      </c>
      <c r="K82" s="14">
        <f t="shared" si="1"/>
        <v>0.27729</v>
      </c>
      <c r="L82" s="23"/>
      <c r="M82" s="14">
        <f t="shared" si="2"/>
        <v>0.28</v>
      </c>
      <c r="N82" s="14">
        <f t="shared" si="3"/>
        <v>0.9087958455</v>
      </c>
      <c r="O82" s="17"/>
      <c r="P82" s="18">
        <f>IFERROR(__xludf.DUMMYFUNCTION("GOOGLEFINANCE(""CURRENCY:USDKWD"")"),0.3081)</f>
        <v>0.3081</v>
      </c>
      <c r="Q82" s="17"/>
    </row>
    <row r="83" ht="15.75" customHeight="1">
      <c r="A83" s="12" t="s">
        <v>354</v>
      </c>
      <c r="B83" s="24" t="s">
        <v>355</v>
      </c>
      <c r="C83" s="12" t="s">
        <v>356</v>
      </c>
      <c r="D83" s="12" t="s">
        <v>357</v>
      </c>
      <c r="E83" s="13">
        <v>0.25</v>
      </c>
      <c r="F83" s="12" t="s">
        <v>57</v>
      </c>
      <c r="G83" s="14">
        <f>Dashboard!$B$3</f>
        <v>1</v>
      </c>
      <c r="H83" s="14">
        <f>MAX(Dashboard!$B$4,G83*E83)</f>
        <v>0.49</v>
      </c>
      <c r="I83" s="14">
        <v>1.0</v>
      </c>
      <c r="J83" s="15">
        <f>IFERROR(__xludf.DUMMYFUNCTION("GOOGLEFINANCE(""CURRENCY:USDKGS"")"),87.45)</f>
        <v>87.45</v>
      </c>
      <c r="K83" s="14">
        <f t="shared" si="1"/>
        <v>42.8505</v>
      </c>
      <c r="L83" s="23"/>
      <c r="M83" s="14">
        <f t="shared" si="2"/>
        <v>42.85</v>
      </c>
      <c r="N83" s="14">
        <f t="shared" si="3"/>
        <v>0.4899942824</v>
      </c>
      <c r="O83" s="17"/>
      <c r="P83" s="18">
        <f>IFERROR(__xludf.DUMMYFUNCTION("GOOGLEFINANCE(""CURRENCY:USDKGS"")"),87.45)</f>
        <v>87.45</v>
      </c>
      <c r="Q83" s="17"/>
    </row>
    <row r="84" ht="15.75" customHeight="1">
      <c r="A84" s="12" t="s">
        <v>358</v>
      </c>
      <c r="B84" s="24" t="s">
        <v>359</v>
      </c>
      <c r="C84" s="12" t="s">
        <v>360</v>
      </c>
      <c r="D84" s="12" t="s">
        <v>361</v>
      </c>
      <c r="E84" s="13">
        <v>0.18</v>
      </c>
      <c r="F84" s="12" t="s">
        <v>66</v>
      </c>
      <c r="G84" s="14">
        <f>Dashboard!$B$3</f>
        <v>1</v>
      </c>
      <c r="H84" s="14">
        <f>MAX(Dashboard!$B$4,G84*E84)</f>
        <v>0.49</v>
      </c>
      <c r="I84" s="14">
        <v>1.0</v>
      </c>
      <c r="J84" s="15">
        <f>IFERROR(__xludf.DUMMYFUNCTION("GOOGLEFINANCE(""CURRENCY:USDLAK"")"),21924.27)</f>
        <v>21924.27</v>
      </c>
      <c r="K84" s="14">
        <f t="shared" si="1"/>
        <v>10742.8923</v>
      </c>
      <c r="L84" s="23"/>
      <c r="M84" s="14">
        <f t="shared" si="2"/>
        <v>10742.89</v>
      </c>
      <c r="N84" s="14">
        <f t="shared" si="3"/>
        <v>0.4899998951</v>
      </c>
      <c r="O84" s="17"/>
      <c r="P84" s="18">
        <f>IFERROR(__xludf.DUMMYFUNCTION("GOOGLEFINANCE(""CURRENCY:USDLAK"")"),21924.27)</f>
        <v>21924.27</v>
      </c>
      <c r="Q84" s="17"/>
    </row>
    <row r="85" ht="15.75" customHeight="1">
      <c r="A85" s="12" t="s">
        <v>362</v>
      </c>
      <c r="B85" s="12" t="s">
        <v>363</v>
      </c>
      <c r="C85" s="12" t="s">
        <v>364</v>
      </c>
      <c r="D85" s="12" t="s">
        <v>93</v>
      </c>
      <c r="E85" s="13">
        <v>0.6</v>
      </c>
      <c r="F85" s="12" t="s">
        <v>30</v>
      </c>
      <c r="G85" s="14">
        <f>Dashboard!$B$3</f>
        <v>1</v>
      </c>
      <c r="H85" s="14">
        <f>MAX(Dashboard!$B$4,G85*E85)</f>
        <v>0.6</v>
      </c>
      <c r="I85" s="14">
        <v>1.0</v>
      </c>
      <c r="J85" s="15">
        <f>IFERROR(__xludf.DUMMYFUNCTION("GOOGLEFINANCE(""CURRENCY:USDEUR"")"),0.8519)</f>
        <v>0.8519</v>
      </c>
      <c r="K85" s="14">
        <f t="shared" si="1"/>
        <v>0.51114</v>
      </c>
      <c r="L85" s="23"/>
      <c r="M85" s="14">
        <f t="shared" si="2"/>
        <v>0.51</v>
      </c>
      <c r="N85" s="14">
        <f t="shared" si="3"/>
        <v>0.5986618148</v>
      </c>
      <c r="O85" s="17"/>
      <c r="P85" s="18">
        <f>IFERROR(__xludf.DUMMYFUNCTION("GOOGLEFINANCE(""CURRENCY:USDEUR"")"),0.8519)</f>
        <v>0.8519</v>
      </c>
      <c r="Q85" s="17"/>
    </row>
    <row r="86" ht="15.75" customHeight="1">
      <c r="A86" s="12" t="s">
        <v>365</v>
      </c>
      <c r="B86" s="12" t="s">
        <v>366</v>
      </c>
      <c r="C86" s="12" t="s">
        <v>367</v>
      </c>
      <c r="D86" s="12" t="s">
        <v>368</v>
      </c>
      <c r="E86" s="13">
        <v>0.4</v>
      </c>
      <c r="F86" s="12" t="s">
        <v>57</v>
      </c>
      <c r="G86" s="14">
        <f>Dashboard!$B$3</f>
        <v>1</v>
      </c>
      <c r="H86" s="14">
        <f>MAX(Dashboard!$B$4,G86*E86)</f>
        <v>0.49</v>
      </c>
      <c r="I86" s="14">
        <v>1.0</v>
      </c>
      <c r="J86" s="15">
        <f>IFERROR(__xludf.DUMMYFUNCTION("GOOGLEFINANCE(""CURRENCY:USDLBP"")"),89559.52)</f>
        <v>89559.52</v>
      </c>
      <c r="K86" s="14">
        <f t="shared" si="1"/>
        <v>43884.1648</v>
      </c>
      <c r="L86" s="23"/>
      <c r="M86" s="14">
        <f t="shared" si="2"/>
        <v>43884.16</v>
      </c>
      <c r="N86" s="14">
        <f t="shared" si="3"/>
        <v>0.4899999464</v>
      </c>
      <c r="O86" s="17"/>
      <c r="P86" s="18">
        <f>IFERROR(__xludf.DUMMYFUNCTION("GOOGLEFINANCE(""CURRENCY:USDLBP"")"),89559.52)</f>
        <v>89559.52</v>
      </c>
      <c r="Q86" s="17"/>
    </row>
    <row r="87" ht="15.75" customHeight="1">
      <c r="A87" s="12" t="s">
        <v>369</v>
      </c>
      <c r="B87" s="12" t="s">
        <v>370</v>
      </c>
      <c r="C87" s="12" t="s">
        <v>371</v>
      </c>
      <c r="D87" s="12" t="s">
        <v>372</v>
      </c>
      <c r="E87" s="13">
        <v>0.18</v>
      </c>
      <c r="F87" s="12" t="s">
        <v>66</v>
      </c>
      <c r="G87" s="14">
        <f>Dashboard!$B$3</f>
        <v>1</v>
      </c>
      <c r="H87" s="14">
        <f>MAX(Dashboard!$B$4,G87*E87)</f>
        <v>0.49</v>
      </c>
      <c r="I87" s="14">
        <v>1.0</v>
      </c>
      <c r="J87" s="15">
        <f>IFERROR(__xludf.DUMMYFUNCTION("GOOGLEFINANCE(""CURRENCY:USDLRD"")"),183.0247)</f>
        <v>183.0247</v>
      </c>
      <c r="K87" s="14">
        <f t="shared" si="1"/>
        <v>89.682103</v>
      </c>
      <c r="L87" s="23"/>
      <c r="M87" s="14">
        <f t="shared" si="2"/>
        <v>89.68</v>
      </c>
      <c r="N87" s="14">
        <f t="shared" si="3"/>
        <v>0.4899885097</v>
      </c>
      <c r="O87" s="17"/>
      <c r="P87" s="18">
        <f>IFERROR(__xludf.DUMMYFUNCTION("GOOGLEFINANCE(""CURRENCY:USDLRD"")"),183.0247)</f>
        <v>183.0247</v>
      </c>
      <c r="Q87" s="17"/>
    </row>
    <row r="88" ht="15.75" customHeight="1">
      <c r="A88" s="12" t="s">
        <v>373</v>
      </c>
      <c r="B88" s="12" t="s">
        <v>373</v>
      </c>
      <c r="C88" s="12" t="s">
        <v>374</v>
      </c>
      <c r="D88" s="12" t="s">
        <v>375</v>
      </c>
      <c r="E88" s="13">
        <v>0.35</v>
      </c>
      <c r="F88" s="12" t="s">
        <v>57</v>
      </c>
      <c r="G88" s="14">
        <f>Dashboard!$B$3</f>
        <v>1</v>
      </c>
      <c r="H88" s="14">
        <f>MAX(Dashboard!$B$4,G88*E88)</f>
        <v>0.49</v>
      </c>
      <c r="I88" s="14">
        <v>1.0</v>
      </c>
      <c r="J88" s="15">
        <f>IFERROR(__xludf.DUMMYFUNCTION("GOOGLEFINANCE(""CURRENCY:USDLYD"")"),6.3274099999999995)</f>
        <v>6.32741</v>
      </c>
      <c r="K88" s="14">
        <f t="shared" si="1"/>
        <v>3.1004309</v>
      </c>
      <c r="L88" s="23"/>
      <c r="M88" s="14">
        <f t="shared" si="2"/>
        <v>3.1</v>
      </c>
      <c r="N88" s="14">
        <f t="shared" si="3"/>
        <v>0.4899318995</v>
      </c>
      <c r="O88" s="17"/>
      <c r="P88" s="18">
        <f>IFERROR(__xludf.DUMMYFUNCTION("GOOGLEFINANCE(""CURRENCY:USDLYD"")"),6.3274099999999995)</f>
        <v>6.32741</v>
      </c>
      <c r="Q88" s="17"/>
    </row>
    <row r="89" ht="15.75" customHeight="1">
      <c r="A89" s="12" t="s">
        <v>376</v>
      </c>
      <c r="B89" s="24" t="s">
        <v>377</v>
      </c>
      <c r="C89" s="12" t="s">
        <v>378</v>
      </c>
      <c r="D89" s="12" t="s">
        <v>379</v>
      </c>
      <c r="E89" s="13">
        <v>1.0</v>
      </c>
      <c r="F89" s="12" t="s">
        <v>22</v>
      </c>
      <c r="G89" s="14">
        <f>Dashboard!$B$3</f>
        <v>1</v>
      </c>
      <c r="H89" s="14">
        <f>MAX(Dashboard!$B$4,G89*E89)</f>
        <v>1</v>
      </c>
      <c r="I89" s="14">
        <v>1.0</v>
      </c>
      <c r="J89" s="15">
        <f>IFERROR(__xludf.DUMMYFUNCTION("GOOGLEFINANCE(""CURRENCY:USDCHF"")"),0.78042)</f>
        <v>0.78042</v>
      </c>
      <c r="K89" s="14">
        <f t="shared" si="1"/>
        <v>0.78042</v>
      </c>
      <c r="L89" s="23"/>
      <c r="M89" s="14">
        <f t="shared" si="2"/>
        <v>0.78</v>
      </c>
      <c r="N89" s="14">
        <f t="shared" si="3"/>
        <v>0.9994618282</v>
      </c>
      <c r="O89" s="17"/>
      <c r="P89" s="18">
        <f>IFERROR(__xludf.DUMMYFUNCTION("GOOGLEFINANCE(""CURRENCY:USDCHF"")"),0.78042)</f>
        <v>0.78042</v>
      </c>
      <c r="Q89" s="17"/>
    </row>
    <row r="90" ht="15.75" customHeight="1">
      <c r="A90" s="12" t="s">
        <v>380</v>
      </c>
      <c r="B90" s="12" t="s">
        <v>381</v>
      </c>
      <c r="C90" s="12" t="s">
        <v>382</v>
      </c>
      <c r="D90" s="12" t="s">
        <v>93</v>
      </c>
      <c r="E90" s="13">
        <v>0.65</v>
      </c>
      <c r="F90" s="12" t="s">
        <v>26</v>
      </c>
      <c r="G90" s="14">
        <f>Dashboard!$B$3</f>
        <v>1</v>
      </c>
      <c r="H90" s="14">
        <f>MAX(Dashboard!$B$4,G90*E90)</f>
        <v>0.65</v>
      </c>
      <c r="I90" s="14">
        <v>1.0</v>
      </c>
      <c r="J90" s="15">
        <f>IFERROR(__xludf.DUMMYFUNCTION("GOOGLEFINANCE(""CURRENCY:USDEUR"")"),0.8519)</f>
        <v>0.8519</v>
      </c>
      <c r="K90" s="14">
        <f t="shared" si="1"/>
        <v>0.553735</v>
      </c>
      <c r="L90" s="23"/>
      <c r="M90" s="14">
        <f t="shared" si="2"/>
        <v>0.55</v>
      </c>
      <c r="N90" s="14">
        <f t="shared" si="3"/>
        <v>0.6456156826</v>
      </c>
      <c r="O90" s="17"/>
      <c r="P90" s="18">
        <f>IFERROR(__xludf.DUMMYFUNCTION("GOOGLEFINANCE(""CURRENCY:USDEUR"")"),0.8519)</f>
        <v>0.8519</v>
      </c>
      <c r="Q90" s="17"/>
    </row>
    <row r="91" ht="15.75" customHeight="1">
      <c r="A91" s="12" t="s">
        <v>383</v>
      </c>
      <c r="B91" s="24" t="s">
        <v>384</v>
      </c>
      <c r="C91" s="12" t="s">
        <v>385</v>
      </c>
      <c r="D91" s="12" t="s">
        <v>93</v>
      </c>
      <c r="E91" s="13">
        <v>1.0</v>
      </c>
      <c r="F91" s="12" t="s">
        <v>22</v>
      </c>
      <c r="G91" s="14">
        <f>Dashboard!$B$3</f>
        <v>1</v>
      </c>
      <c r="H91" s="14">
        <f>MAX(Dashboard!$B$4,G91*E91)</f>
        <v>1</v>
      </c>
      <c r="I91" s="14">
        <v>1.0</v>
      </c>
      <c r="J91" s="15">
        <f>IFERROR(__xludf.DUMMYFUNCTION("GOOGLEFINANCE(""CURRENCY:USDEUR"")"),0.8519)</f>
        <v>0.8519</v>
      </c>
      <c r="K91" s="14">
        <f t="shared" si="1"/>
        <v>0.8519</v>
      </c>
      <c r="L91" s="23"/>
      <c r="M91" s="14">
        <f t="shared" si="2"/>
        <v>0.85</v>
      </c>
      <c r="N91" s="14">
        <f t="shared" si="3"/>
        <v>0.9977696913</v>
      </c>
      <c r="O91" s="17"/>
      <c r="P91" s="18">
        <f>IFERROR(__xludf.DUMMYFUNCTION("GOOGLEFINANCE(""CURRENCY:USDEUR"")"),0.8519)</f>
        <v>0.8519</v>
      </c>
      <c r="Q91" s="17"/>
    </row>
    <row r="92" ht="15.75" customHeight="1">
      <c r="A92" s="12" t="s">
        <v>386</v>
      </c>
      <c r="B92" s="24" t="s">
        <v>387</v>
      </c>
      <c r="C92" s="12" t="s">
        <v>388</v>
      </c>
      <c r="D92" s="12" t="s">
        <v>389</v>
      </c>
      <c r="E92" s="13">
        <v>0.85</v>
      </c>
      <c r="F92" s="12" t="s">
        <v>22</v>
      </c>
      <c r="G92" s="14">
        <f>Dashboard!$B$3</f>
        <v>1</v>
      </c>
      <c r="H92" s="14">
        <f>MAX(Dashboard!$B$4,G92*E92)</f>
        <v>0.85</v>
      </c>
      <c r="I92" s="14">
        <v>1.0</v>
      </c>
      <c r="J92" s="15">
        <f>IFERROR(__xludf.DUMMYFUNCTION("GOOGLEFINANCE(""CURRENCY:USDMOP"")"),8.064551999999999)</f>
        <v>8.064552</v>
      </c>
      <c r="K92" s="14">
        <f t="shared" si="1"/>
        <v>6.8548692</v>
      </c>
      <c r="L92" s="23"/>
      <c r="M92" s="14">
        <f t="shared" si="2"/>
        <v>6.85</v>
      </c>
      <c r="N92" s="14">
        <f t="shared" si="3"/>
        <v>0.8493962219</v>
      </c>
      <c r="O92" s="17"/>
      <c r="P92" s="18">
        <f>IFERROR(__xludf.DUMMYFUNCTION("GOOGLEFINANCE(""CURRENCY:USDMOP"")"),8.064551999999999)</f>
        <v>8.064552</v>
      </c>
      <c r="Q92" s="17"/>
    </row>
    <row r="93" ht="15.75" customHeight="1">
      <c r="A93" s="12" t="s">
        <v>390</v>
      </c>
      <c r="B93" s="24" t="s">
        <v>391</v>
      </c>
      <c r="C93" s="12" t="s">
        <v>392</v>
      </c>
      <c r="D93" s="12" t="s">
        <v>393</v>
      </c>
      <c r="E93" s="13">
        <v>0.5</v>
      </c>
      <c r="F93" s="12" t="s">
        <v>30</v>
      </c>
      <c r="G93" s="14">
        <f>Dashboard!$B$3</f>
        <v>1</v>
      </c>
      <c r="H93" s="14">
        <f>MAX(Dashboard!$B$4,G93*E93)</f>
        <v>0.5</v>
      </c>
      <c r="I93" s="14">
        <v>1.0</v>
      </c>
      <c r="J93" s="15">
        <f>IFERROR(__xludf.DUMMYFUNCTION("GOOGLEFINANCE(""CURRENCY:USDMYR"")"),3.9339999999999997)</f>
        <v>3.934</v>
      </c>
      <c r="K93" s="14">
        <f t="shared" si="1"/>
        <v>1.967</v>
      </c>
      <c r="L93" s="23"/>
      <c r="M93" s="14">
        <f t="shared" si="2"/>
        <v>1.97</v>
      </c>
      <c r="N93" s="14">
        <f t="shared" si="3"/>
        <v>0.5007625826</v>
      </c>
      <c r="O93" s="17"/>
      <c r="P93" s="18">
        <f>IFERROR(__xludf.DUMMYFUNCTION("GOOGLEFINANCE(""CURRENCY:USDMYR"")"),3.9339999999999997)</f>
        <v>3.934</v>
      </c>
      <c r="Q93" s="17"/>
    </row>
    <row r="94" ht="15.75" customHeight="1">
      <c r="A94" s="12" t="s">
        <v>394</v>
      </c>
      <c r="B94" s="24" t="s">
        <v>395</v>
      </c>
      <c r="C94" s="12" t="s">
        <v>396</v>
      </c>
      <c r="D94" s="12" t="s">
        <v>397</v>
      </c>
      <c r="E94" s="13">
        <v>0.45</v>
      </c>
      <c r="F94" s="12" t="s">
        <v>30</v>
      </c>
      <c r="G94" s="14">
        <f>Dashboard!$B$3</f>
        <v>1</v>
      </c>
      <c r="H94" s="14">
        <f>MAX(Dashboard!$B$4,G94*E94)</f>
        <v>0.49</v>
      </c>
      <c r="I94" s="14">
        <v>1.0</v>
      </c>
      <c r="J94" s="15">
        <f>IFERROR(__xludf.DUMMYFUNCTION("GOOGLEFINANCE(""CURRENCY:USDMVR"")"),15.400000000000002)</f>
        <v>15.4</v>
      </c>
      <c r="K94" s="14">
        <f t="shared" si="1"/>
        <v>7.546</v>
      </c>
      <c r="L94" s="23"/>
      <c r="M94" s="14">
        <f t="shared" si="2"/>
        <v>7.55</v>
      </c>
      <c r="N94" s="14">
        <f t="shared" si="3"/>
        <v>0.4902597403</v>
      </c>
      <c r="O94" s="17"/>
      <c r="P94" s="18">
        <f>IFERROR(__xludf.DUMMYFUNCTION("GOOGLEFINANCE(""CURRENCY:USDMVR"")"),15.400000000000002)</f>
        <v>15.4</v>
      </c>
      <c r="Q94" s="17"/>
    </row>
    <row r="95" ht="15.75" customHeight="1">
      <c r="A95" s="12" t="s">
        <v>398</v>
      </c>
      <c r="B95" s="12" t="s">
        <v>398</v>
      </c>
      <c r="C95" s="12" t="s">
        <v>399</v>
      </c>
      <c r="D95" s="12" t="s">
        <v>121</v>
      </c>
      <c r="E95" s="13">
        <v>0.15</v>
      </c>
      <c r="F95" s="12" t="s">
        <v>66</v>
      </c>
      <c r="G95" s="14">
        <f>Dashboard!$B$3</f>
        <v>1</v>
      </c>
      <c r="H95" s="14">
        <f>MAX(Dashboard!$B$4,G95*E95)</f>
        <v>0.49</v>
      </c>
      <c r="I95" s="14">
        <v>1.0</v>
      </c>
      <c r="J95" s="15">
        <f>IFERROR(__xludf.DUMMYFUNCTION("GOOGLEFINANCE(""CURRENCY:USDXOF"")"),558.7654)</f>
        <v>558.7654</v>
      </c>
      <c r="K95" s="14">
        <f t="shared" si="1"/>
        <v>273.795046</v>
      </c>
      <c r="L95" s="23"/>
      <c r="M95" s="14">
        <f t="shared" si="2"/>
        <v>273.8</v>
      </c>
      <c r="N95" s="14">
        <f t="shared" si="3"/>
        <v>0.490008866</v>
      </c>
      <c r="O95" s="17"/>
      <c r="P95" s="18">
        <f>IFERROR(__xludf.DUMMYFUNCTION("GOOGLEFINANCE(""CURRENCY:USDXOF"")"),558.7654)</f>
        <v>558.7654</v>
      </c>
      <c r="Q95" s="17"/>
    </row>
    <row r="96" ht="15.75" customHeight="1">
      <c r="A96" s="12" t="s">
        <v>400</v>
      </c>
      <c r="B96" s="12" t="s">
        <v>400</v>
      </c>
      <c r="C96" s="12" t="s">
        <v>401</v>
      </c>
      <c r="D96" s="12" t="s">
        <v>93</v>
      </c>
      <c r="E96" s="13">
        <v>0.75</v>
      </c>
      <c r="F96" s="12" t="s">
        <v>26</v>
      </c>
      <c r="G96" s="14">
        <f>Dashboard!$B$3</f>
        <v>1</v>
      </c>
      <c r="H96" s="14">
        <f>MAX(Dashboard!$B$4,G96*E96)</f>
        <v>0.75</v>
      </c>
      <c r="I96" s="14">
        <v>1.0</v>
      </c>
      <c r="J96" s="15">
        <f>IFERROR(__xludf.DUMMYFUNCTION("GOOGLEFINANCE(""CURRENCY:USDEUR"")"),0.8519)</f>
        <v>0.8519</v>
      </c>
      <c r="K96" s="14">
        <f t="shared" si="1"/>
        <v>0.638925</v>
      </c>
      <c r="L96" s="23"/>
      <c r="M96" s="14">
        <f t="shared" si="2"/>
        <v>0.64</v>
      </c>
      <c r="N96" s="14">
        <f t="shared" si="3"/>
        <v>0.7512618852</v>
      </c>
      <c r="O96" s="17"/>
      <c r="P96" s="18">
        <f>IFERROR(__xludf.DUMMYFUNCTION("GOOGLEFINANCE(""CURRENCY:USDEUR"")"),0.8519)</f>
        <v>0.8519</v>
      </c>
      <c r="Q96" s="17"/>
    </row>
    <row r="97" ht="15.75" customHeight="1">
      <c r="A97" s="12" t="s">
        <v>402</v>
      </c>
      <c r="B97" s="24" t="s">
        <v>403</v>
      </c>
      <c r="C97" s="12" t="s">
        <v>404</v>
      </c>
      <c r="D97" s="12" t="s">
        <v>405</v>
      </c>
      <c r="E97" s="13">
        <v>0.22</v>
      </c>
      <c r="F97" s="12" t="s">
        <v>66</v>
      </c>
      <c r="G97" s="14">
        <f>Dashboard!$B$3</f>
        <v>1</v>
      </c>
      <c r="H97" s="14">
        <f>MAX(Dashboard!$B$4,G97*E97)</f>
        <v>0.49</v>
      </c>
      <c r="I97" s="14">
        <v>1.0</v>
      </c>
      <c r="J97" s="15">
        <f>IFERROR(__xludf.DUMMYFUNCTION("GOOGLEFINANCE(""CURRENCY:USDMUR"")"),46.7)</f>
        <v>46.7</v>
      </c>
      <c r="K97" s="14">
        <f t="shared" si="1"/>
        <v>22.883</v>
      </c>
      <c r="L97" s="23"/>
      <c r="M97" s="14">
        <f t="shared" si="2"/>
        <v>22.88</v>
      </c>
      <c r="N97" s="14">
        <f t="shared" si="3"/>
        <v>0.4899357602</v>
      </c>
      <c r="O97" s="17"/>
      <c r="P97" s="18">
        <f>IFERROR(__xludf.DUMMYFUNCTION("GOOGLEFINANCE(""CURRENCY:USDMUR"")"),46.7)</f>
        <v>46.7</v>
      </c>
      <c r="Q97" s="17"/>
    </row>
    <row r="98" ht="15.75" customHeight="1">
      <c r="A98" s="12" t="s">
        <v>406</v>
      </c>
      <c r="B98" s="17" t="s">
        <v>407</v>
      </c>
      <c r="C98" s="12" t="s">
        <v>408</v>
      </c>
      <c r="D98" s="17" t="s">
        <v>409</v>
      </c>
      <c r="E98" s="19">
        <v>0.45</v>
      </c>
      <c r="F98" s="17" t="str">
        <f>IF(E98&gt;=0.8,"A",IF(E98&gt;=0.6,"B",IF(E98&gt;=0.4,"C",IF(E98&gt;=0.2,"D","E"))))</f>
        <v>C</v>
      </c>
      <c r="G98" s="14">
        <f>Dashboard!$B$3</f>
        <v>1</v>
      </c>
      <c r="H98" s="14">
        <f>MAX(Dashboard!$B$4,G98*E98)</f>
        <v>0.49</v>
      </c>
      <c r="I98" s="25">
        <v>0.9</v>
      </c>
      <c r="J98" s="20">
        <f>IFERROR(__xludf.DUMMYFUNCTION("GOOGLEFINANCE(""CURRENCY:USDMXN"")"),17.2269)</f>
        <v>17.2269</v>
      </c>
      <c r="K98" s="14">
        <f t="shared" si="1"/>
        <v>7.5970629</v>
      </c>
      <c r="L98" s="21" t="s">
        <v>410</v>
      </c>
      <c r="M98" s="14">
        <f t="shared" si="2"/>
        <v>8</v>
      </c>
      <c r="N98" s="14">
        <f t="shared" si="3"/>
        <v>0.4643899947</v>
      </c>
      <c r="O98" s="17" t="str">
        <f>IF(N98&lt;Dashboard!$B$4,"Below global min",IF(AND(E98&gt;=0.8,N98&lt;Dashboard!$B$5),"Raise high-PPP floor","OK"))</f>
        <v>Below global min</v>
      </c>
      <c r="P98" s="22">
        <f>IFERROR(__xludf.DUMMYFUNCTION("GOOGLEFINANCE(""CURRENCY:USDMXN"")"),17.2269)</f>
        <v>17.2269</v>
      </c>
      <c r="Q98" s="17"/>
    </row>
    <row r="99" ht="15.75" customHeight="1">
      <c r="A99" s="12" t="s">
        <v>411</v>
      </c>
      <c r="B99" s="24" t="s">
        <v>412</v>
      </c>
      <c r="C99" s="12" t="s">
        <v>413</v>
      </c>
      <c r="D99" s="12" t="s">
        <v>226</v>
      </c>
      <c r="E99" s="13">
        <v>0.3</v>
      </c>
      <c r="F99" s="12" t="s">
        <v>57</v>
      </c>
      <c r="G99" s="14">
        <f>Dashboard!$B$3</f>
        <v>1</v>
      </c>
      <c r="H99" s="14">
        <f>MAX(Dashboard!$B$4,G99*E99)</f>
        <v>0.49</v>
      </c>
      <c r="I99" s="14">
        <v>1.0</v>
      </c>
      <c r="J99" s="15" t="str">
        <f>IFERROR(__xludf.DUMMYFUNCTION("GOOGLEFINANCE(""CURRENCY:USDUSD"")"),"#N/A")</f>
        <v>#N/A</v>
      </c>
      <c r="K99" s="14" t="str">
        <f t="shared" si="1"/>
        <v>#N/A</v>
      </c>
      <c r="L99" s="23"/>
      <c r="M99" s="14" t="str">
        <f t="shared" si="2"/>
        <v>#N/A</v>
      </c>
      <c r="N99" s="14" t="str">
        <f t="shared" si="3"/>
        <v>#N/A</v>
      </c>
      <c r="O99" s="17"/>
      <c r="P99" s="18" t="str">
        <f>IFERROR(__xludf.DUMMYFUNCTION("GOOGLEFINANCE(""CURRENCY:USDUSD"")"),"#N/A")</f>
        <v>#N/A</v>
      </c>
      <c r="Q99" s="17"/>
    </row>
    <row r="100" ht="15.75" customHeight="1">
      <c r="A100" s="12" t="s">
        <v>414</v>
      </c>
      <c r="B100" s="24" t="s">
        <v>415</v>
      </c>
      <c r="C100" s="12" t="s">
        <v>416</v>
      </c>
      <c r="D100" s="12" t="s">
        <v>417</v>
      </c>
      <c r="E100" s="13">
        <v>0.3</v>
      </c>
      <c r="F100" s="12" t="s">
        <v>57</v>
      </c>
      <c r="G100" s="14">
        <f>Dashboard!$B$3</f>
        <v>1</v>
      </c>
      <c r="H100" s="14">
        <f>MAX(Dashboard!$B$4,G100*E100)</f>
        <v>0.49</v>
      </c>
      <c r="I100" s="14">
        <v>1.0</v>
      </c>
      <c r="J100" s="15">
        <f>IFERROR(__xludf.DUMMYFUNCTION("GOOGLEFINANCE(""CURRENCY:USDMDL"")"),17.116570000000003)</f>
        <v>17.11657</v>
      </c>
      <c r="K100" s="14">
        <f t="shared" si="1"/>
        <v>8.3871193</v>
      </c>
      <c r="L100" s="23"/>
      <c r="M100" s="14">
        <f t="shared" si="2"/>
        <v>8.39</v>
      </c>
      <c r="N100" s="14">
        <f t="shared" si="3"/>
        <v>0.4901682989</v>
      </c>
      <c r="O100" s="17"/>
      <c r="P100" s="18">
        <f>IFERROR(__xludf.DUMMYFUNCTION("GOOGLEFINANCE(""CURRENCY:USDMDL"")"),17.116570000000003)</f>
        <v>17.11657</v>
      </c>
      <c r="Q100" s="17"/>
    </row>
    <row r="101" ht="15.75" customHeight="1">
      <c r="A101" s="12" t="s">
        <v>418</v>
      </c>
      <c r="B101" s="24" t="s">
        <v>419</v>
      </c>
      <c r="C101" s="12" t="s">
        <v>420</v>
      </c>
      <c r="D101" s="12" t="s">
        <v>93</v>
      </c>
      <c r="E101" s="13">
        <v>1.0</v>
      </c>
      <c r="F101" s="12" t="s">
        <v>22</v>
      </c>
      <c r="G101" s="14">
        <f>Dashboard!$B$3</f>
        <v>1</v>
      </c>
      <c r="H101" s="14">
        <f>MAX(Dashboard!$B$4,G101*E101)</f>
        <v>1</v>
      </c>
      <c r="I101" s="14">
        <v>1.0</v>
      </c>
      <c r="J101" s="15">
        <f>IFERROR(__xludf.DUMMYFUNCTION("GOOGLEFINANCE(""CURRENCY:USDEUR"")"),0.8519)</f>
        <v>0.8519</v>
      </c>
      <c r="K101" s="14">
        <f t="shared" si="1"/>
        <v>0.8519</v>
      </c>
      <c r="L101" s="23"/>
      <c r="M101" s="14">
        <f t="shared" si="2"/>
        <v>0.85</v>
      </c>
      <c r="N101" s="14">
        <f t="shared" si="3"/>
        <v>0.9977696913</v>
      </c>
      <c r="O101" s="17"/>
      <c r="P101" s="18">
        <f>IFERROR(__xludf.DUMMYFUNCTION("GOOGLEFINANCE(""CURRENCY:USDEUR"")"),0.8519)</f>
        <v>0.8519</v>
      </c>
      <c r="Q101" s="17"/>
    </row>
    <row r="102" ht="15.75" customHeight="1">
      <c r="A102" s="12" t="s">
        <v>421</v>
      </c>
      <c r="B102" s="24" t="s">
        <v>422</v>
      </c>
      <c r="C102" s="12" t="s">
        <v>423</v>
      </c>
      <c r="D102" s="12" t="s">
        <v>424</v>
      </c>
      <c r="E102" s="13">
        <v>0.3</v>
      </c>
      <c r="F102" s="12" t="s">
        <v>57</v>
      </c>
      <c r="G102" s="14">
        <f>Dashboard!$B$3</f>
        <v>1</v>
      </c>
      <c r="H102" s="14">
        <f>MAX(Dashboard!$B$4,G102*E102)</f>
        <v>0.49</v>
      </c>
      <c r="I102" s="14">
        <v>1.0</v>
      </c>
      <c r="J102" s="15">
        <f>IFERROR(__xludf.DUMMYFUNCTION("GOOGLEFINANCE(""CURRENCY:USDMNT"")"),1.50172698603)</f>
        <v>1.501726986</v>
      </c>
      <c r="K102" s="14">
        <f t="shared" si="1"/>
        <v>0.7358462232</v>
      </c>
      <c r="L102" s="23"/>
      <c r="M102" s="14">
        <f t="shared" si="2"/>
        <v>0.74</v>
      </c>
      <c r="N102" s="14">
        <f t="shared" si="3"/>
        <v>0.492766</v>
      </c>
      <c r="O102" s="17"/>
      <c r="P102" s="18">
        <f>IFERROR(__xludf.DUMMYFUNCTION("GOOGLEFINANCE(""CURRENCY:USDMNT"")"),1.50172698603)</f>
        <v>1.501726986</v>
      </c>
      <c r="Q102" s="17"/>
    </row>
    <row r="103" ht="15.75" customHeight="1">
      <c r="A103" s="12" t="s">
        <v>425</v>
      </c>
      <c r="B103" s="12" t="s">
        <v>426</v>
      </c>
      <c r="C103" s="12" t="s">
        <v>427</v>
      </c>
      <c r="D103" s="12" t="s">
        <v>428</v>
      </c>
      <c r="E103" s="13">
        <v>0.3</v>
      </c>
      <c r="F103" s="12" t="s">
        <v>57</v>
      </c>
      <c r="G103" s="14">
        <f>Dashboard!$B$3</f>
        <v>1</v>
      </c>
      <c r="H103" s="14">
        <f>MAX(Dashboard!$B$4,G103*E103)</f>
        <v>0.49</v>
      </c>
      <c r="I103" s="14">
        <v>1.0</v>
      </c>
      <c r="J103" s="15">
        <f>IFERROR(__xludf.DUMMYFUNCTION("GOOGLEFINANCE(""CURRENCY:USDMAD"")"),9.127507)</f>
        <v>9.127507</v>
      </c>
      <c r="K103" s="14">
        <f t="shared" si="1"/>
        <v>4.47247843</v>
      </c>
      <c r="L103" s="23"/>
      <c r="M103" s="14">
        <f t="shared" si="2"/>
        <v>4.47</v>
      </c>
      <c r="N103" s="14">
        <f t="shared" si="3"/>
        <v>0.4897284658</v>
      </c>
      <c r="O103" s="17"/>
      <c r="P103" s="18">
        <f>IFERROR(__xludf.DUMMYFUNCTION("GOOGLEFINANCE(""CURRENCY:USDMAD"")"),9.127507)</f>
        <v>9.127507</v>
      </c>
      <c r="Q103" s="17"/>
    </row>
    <row r="104" ht="15.75" customHeight="1">
      <c r="A104" s="12" t="s">
        <v>429</v>
      </c>
      <c r="B104" s="24" t="s">
        <v>430</v>
      </c>
      <c r="C104" s="12" t="s">
        <v>431</v>
      </c>
      <c r="D104" s="12" t="s">
        <v>432</v>
      </c>
      <c r="E104" s="13">
        <v>0.18</v>
      </c>
      <c r="F104" s="12" t="s">
        <v>66</v>
      </c>
      <c r="G104" s="14">
        <f>Dashboard!$B$3</f>
        <v>1</v>
      </c>
      <c r="H104" s="14">
        <f>MAX(Dashboard!$B$4,G104*E104)</f>
        <v>0.49</v>
      </c>
      <c r="I104" s="14">
        <v>1.0</v>
      </c>
      <c r="J104" s="15">
        <f>IFERROR(__xludf.DUMMYFUNCTION("GOOGLEFINANCE(""CURRENCY:USDMZN"")"),63.910000000000004)</f>
        <v>63.91</v>
      </c>
      <c r="K104" s="14">
        <f t="shared" si="1"/>
        <v>31.3159</v>
      </c>
      <c r="L104" s="23"/>
      <c r="M104" s="14">
        <f t="shared" si="2"/>
        <v>31.32</v>
      </c>
      <c r="N104" s="14">
        <f t="shared" si="3"/>
        <v>0.4900641527</v>
      </c>
      <c r="O104" s="17"/>
      <c r="P104" s="18">
        <f>IFERROR(__xludf.DUMMYFUNCTION("GOOGLEFINANCE(""CURRENCY:USDMZN"")"),63.910000000000004)</f>
        <v>63.91</v>
      </c>
      <c r="Q104" s="17"/>
    </row>
    <row r="105" ht="15.75" customHeight="1">
      <c r="A105" s="12" t="s">
        <v>433</v>
      </c>
      <c r="B105" s="24" t="s">
        <v>434</v>
      </c>
      <c r="C105" s="12" t="s">
        <v>435</v>
      </c>
      <c r="D105" s="12" t="s">
        <v>436</v>
      </c>
      <c r="E105" s="13">
        <v>0.18</v>
      </c>
      <c r="F105" s="12" t="s">
        <v>66</v>
      </c>
      <c r="G105" s="14">
        <f>Dashboard!$B$3</f>
        <v>1</v>
      </c>
      <c r="H105" s="14">
        <f>MAX(Dashboard!$B$4,G105*E105)</f>
        <v>0.49</v>
      </c>
      <c r="I105" s="14">
        <v>1.0</v>
      </c>
      <c r="J105" s="15" t="str">
        <f>IFERROR(__xludf.DUMMYFUNCTION("GOOGLEFINANCE(""CURRENCY:USDMMK"")"),"#N/A")</f>
        <v>#N/A</v>
      </c>
      <c r="K105" s="14" t="str">
        <f t="shared" si="1"/>
        <v>#N/A</v>
      </c>
      <c r="L105" s="23"/>
      <c r="M105" s="14" t="str">
        <f t="shared" si="2"/>
        <v>#N/A</v>
      </c>
      <c r="N105" s="14" t="str">
        <f t="shared" si="3"/>
        <v>#N/A</v>
      </c>
      <c r="O105" s="17"/>
      <c r="P105" s="18" t="str">
        <f>IFERROR(__xludf.DUMMYFUNCTION("GOOGLEFINANCE(""CURRENCY:USDMMK"")"),"#N/A")</f>
        <v>#N/A</v>
      </c>
      <c r="Q105" s="17"/>
    </row>
    <row r="106" ht="15.75" customHeight="1">
      <c r="A106" s="12" t="s">
        <v>437</v>
      </c>
      <c r="B106" s="24" t="s">
        <v>438</v>
      </c>
      <c r="C106" s="12" t="s">
        <v>439</v>
      </c>
      <c r="D106" s="12" t="s">
        <v>440</v>
      </c>
      <c r="E106" s="13">
        <v>0.35</v>
      </c>
      <c r="F106" s="12" t="s">
        <v>57</v>
      </c>
      <c r="G106" s="14">
        <f>Dashboard!$B$3</f>
        <v>1</v>
      </c>
      <c r="H106" s="14">
        <f>MAX(Dashboard!$B$4,G106*E106)</f>
        <v>0.49</v>
      </c>
      <c r="I106" s="14">
        <v>1.0</v>
      </c>
      <c r="J106" s="15">
        <f>IFERROR(__xludf.DUMMYFUNCTION("GOOGLEFINANCE(""CURRENCY:USDNAD"")"),16.531370000000003)</f>
        <v>16.53137</v>
      </c>
      <c r="K106" s="14">
        <f t="shared" si="1"/>
        <v>8.1003713</v>
      </c>
      <c r="L106" s="23"/>
      <c r="M106" s="14">
        <f t="shared" si="2"/>
        <v>8.1</v>
      </c>
      <c r="N106" s="14">
        <f t="shared" si="3"/>
        <v>0.4899775397</v>
      </c>
      <c r="O106" s="17"/>
      <c r="P106" s="18">
        <f>IFERROR(__xludf.DUMMYFUNCTION("GOOGLEFINANCE(""CURRENCY:USDNAD"")"),16.531370000000003)</f>
        <v>16.53137</v>
      </c>
      <c r="Q106" s="17"/>
    </row>
    <row r="107" ht="15.75" customHeight="1">
      <c r="A107" s="12" t="s">
        <v>441</v>
      </c>
      <c r="B107" s="12" t="s">
        <v>441</v>
      </c>
      <c r="C107" s="12" t="s">
        <v>442</v>
      </c>
      <c r="D107" s="12" t="s">
        <v>443</v>
      </c>
      <c r="E107" s="13">
        <v>0.15</v>
      </c>
      <c r="F107" s="12" t="s">
        <v>66</v>
      </c>
      <c r="G107" s="14">
        <f>Dashboard!$B$3</f>
        <v>1</v>
      </c>
      <c r="H107" s="14">
        <f>MAX(Dashboard!$B$4,G107*E107)</f>
        <v>0.49</v>
      </c>
      <c r="I107" s="14">
        <v>1.0</v>
      </c>
      <c r="J107" s="15">
        <f>IFERROR(__xludf.DUMMYFUNCTION("GOOGLEFINANCE(""CURRENCY:USDNPR"")"),152.9439)</f>
        <v>152.9439</v>
      </c>
      <c r="K107" s="14">
        <f t="shared" si="1"/>
        <v>74.942511</v>
      </c>
      <c r="L107" s="23"/>
      <c r="M107" s="14">
        <f t="shared" si="2"/>
        <v>74.94</v>
      </c>
      <c r="N107" s="14">
        <f t="shared" si="3"/>
        <v>0.4899835822</v>
      </c>
      <c r="O107" s="17"/>
      <c r="P107" s="18">
        <f>IFERROR(__xludf.DUMMYFUNCTION("GOOGLEFINANCE(""CURRENCY:USDNPR"")"),152.9439)</f>
        <v>152.9439</v>
      </c>
      <c r="Q107" s="17"/>
    </row>
    <row r="108" ht="15.75" customHeight="1">
      <c r="A108" s="12" t="s">
        <v>444</v>
      </c>
      <c r="B108" s="24" t="s">
        <v>445</v>
      </c>
      <c r="C108" s="12" t="s">
        <v>446</v>
      </c>
      <c r="D108" s="12" t="s">
        <v>93</v>
      </c>
      <c r="E108" s="13">
        <v>0.88</v>
      </c>
      <c r="F108" s="12" t="s">
        <v>22</v>
      </c>
      <c r="G108" s="14">
        <f>Dashboard!$B$3</f>
        <v>1</v>
      </c>
      <c r="H108" s="14">
        <f>MAX(Dashboard!$B$4,G108*E108)</f>
        <v>0.88</v>
      </c>
      <c r="I108" s="14">
        <v>1.0</v>
      </c>
      <c r="J108" s="15">
        <f>IFERROR(__xludf.DUMMYFUNCTION("GOOGLEFINANCE(""CURRENCY:USDEUR"")"),0.8519)</f>
        <v>0.8519</v>
      </c>
      <c r="K108" s="14">
        <f t="shared" si="1"/>
        <v>0.749672</v>
      </c>
      <c r="L108" s="23"/>
      <c r="M108" s="14">
        <f t="shared" si="2"/>
        <v>0.75</v>
      </c>
      <c r="N108" s="14">
        <f t="shared" si="3"/>
        <v>0.8803850217</v>
      </c>
      <c r="O108" s="17"/>
      <c r="P108" s="18">
        <f>IFERROR(__xludf.DUMMYFUNCTION("GOOGLEFINANCE(""CURRENCY:USDEUR"")"),0.8519)</f>
        <v>0.8519</v>
      </c>
      <c r="Q108" s="17"/>
    </row>
    <row r="109" ht="15.75" customHeight="1">
      <c r="A109" s="12" t="s">
        <v>447</v>
      </c>
      <c r="B109" s="24" t="s">
        <v>448</v>
      </c>
      <c r="C109" s="12" t="s">
        <v>449</v>
      </c>
      <c r="D109" s="12" t="s">
        <v>450</v>
      </c>
      <c r="E109" s="13">
        <v>0.9</v>
      </c>
      <c r="F109" s="12" t="s">
        <v>22</v>
      </c>
      <c r="G109" s="14">
        <f>Dashboard!$B$3</f>
        <v>1</v>
      </c>
      <c r="H109" s="14">
        <f>MAX(Dashboard!$B$4,G109*E109)</f>
        <v>0.9</v>
      </c>
      <c r="I109" s="14">
        <v>1.0</v>
      </c>
      <c r="J109" s="15">
        <f>IFERROR(__xludf.DUMMYFUNCTION("GOOGLEFINANCE(""CURRENCY:USDNZD"")"),1.67947)</f>
        <v>1.67947</v>
      </c>
      <c r="K109" s="14">
        <f t="shared" si="1"/>
        <v>1.511523</v>
      </c>
      <c r="L109" s="23"/>
      <c r="M109" s="14">
        <f t="shared" si="2"/>
        <v>1.51</v>
      </c>
      <c r="N109" s="14">
        <f t="shared" si="3"/>
        <v>0.8990931663</v>
      </c>
      <c r="O109" s="17"/>
      <c r="P109" s="18">
        <f>IFERROR(__xludf.DUMMYFUNCTION("GOOGLEFINANCE(""CURRENCY:USDNZD"")"),1.67947)</f>
        <v>1.67947</v>
      </c>
      <c r="Q109" s="17"/>
    </row>
    <row r="110" ht="15.75" customHeight="1">
      <c r="A110" s="12" t="s">
        <v>451</v>
      </c>
      <c r="B110" s="24" t="s">
        <v>452</v>
      </c>
      <c r="C110" s="12" t="s">
        <v>453</v>
      </c>
      <c r="D110" s="12" t="s">
        <v>454</v>
      </c>
      <c r="E110" s="13">
        <v>0.25</v>
      </c>
      <c r="F110" s="12" t="s">
        <v>57</v>
      </c>
      <c r="G110" s="14">
        <f>Dashboard!$B$3</f>
        <v>1</v>
      </c>
      <c r="H110" s="14">
        <f>MAX(Dashboard!$B$4,G110*E110)</f>
        <v>0.49</v>
      </c>
      <c r="I110" s="14">
        <v>1.0</v>
      </c>
      <c r="J110" s="15">
        <f>IFERROR(__xludf.DUMMYFUNCTION("GOOGLEFINANCE(""CURRENCY:USDNIO"")"),36.80767)</f>
        <v>36.80767</v>
      </c>
      <c r="K110" s="14">
        <f t="shared" si="1"/>
        <v>18.0357583</v>
      </c>
      <c r="L110" s="23"/>
      <c r="M110" s="14">
        <f t="shared" si="2"/>
        <v>18.04</v>
      </c>
      <c r="N110" s="14">
        <f t="shared" si="3"/>
        <v>0.4901152396</v>
      </c>
      <c r="O110" s="17"/>
      <c r="P110" s="18">
        <f>IFERROR(__xludf.DUMMYFUNCTION("GOOGLEFINANCE(""CURRENCY:USDNIO"")"),36.80767)</f>
        <v>36.80767</v>
      </c>
      <c r="Q110" s="17"/>
    </row>
    <row r="111" ht="15.75" customHeight="1">
      <c r="A111" s="12" t="s">
        <v>455</v>
      </c>
      <c r="B111" s="12" t="s">
        <v>456</v>
      </c>
      <c r="C111" s="12" t="s">
        <v>457</v>
      </c>
      <c r="D111" s="12" t="s">
        <v>121</v>
      </c>
      <c r="E111" s="13">
        <v>0.12</v>
      </c>
      <c r="F111" s="12" t="s">
        <v>66</v>
      </c>
      <c r="G111" s="14">
        <f>Dashboard!$B$3</f>
        <v>1</v>
      </c>
      <c r="H111" s="14">
        <f>MAX(Dashboard!$B$4,G111*E111)</f>
        <v>0.49</v>
      </c>
      <c r="I111" s="14">
        <v>1.0</v>
      </c>
      <c r="J111" s="15">
        <f>IFERROR(__xludf.DUMMYFUNCTION("GOOGLEFINANCE(""CURRENCY:USDXOF"")"),558.7654)</f>
        <v>558.7654</v>
      </c>
      <c r="K111" s="14">
        <f t="shared" si="1"/>
        <v>273.795046</v>
      </c>
      <c r="L111" s="23"/>
      <c r="M111" s="14">
        <f t="shared" si="2"/>
        <v>273.8</v>
      </c>
      <c r="N111" s="14">
        <f t="shared" si="3"/>
        <v>0.490008866</v>
      </c>
      <c r="O111" s="17"/>
      <c r="P111" s="18">
        <f>IFERROR(__xludf.DUMMYFUNCTION("GOOGLEFINANCE(""CURRENCY:USDXOF"")"),558.7654)</f>
        <v>558.7654</v>
      </c>
      <c r="Q111" s="17"/>
    </row>
    <row r="112" ht="15.75" customHeight="1">
      <c r="A112" s="12" t="s">
        <v>458</v>
      </c>
      <c r="B112" s="12" t="s">
        <v>459</v>
      </c>
      <c r="C112" s="12" t="s">
        <v>460</v>
      </c>
      <c r="D112" s="12" t="s">
        <v>461</v>
      </c>
      <c r="E112" s="13">
        <v>0.2</v>
      </c>
      <c r="F112" s="12" t="s">
        <v>66</v>
      </c>
      <c r="G112" s="14">
        <f>Dashboard!$B$3</f>
        <v>1</v>
      </c>
      <c r="H112" s="14">
        <f>MAX(Dashboard!$B$4,G112*E112)</f>
        <v>0.49</v>
      </c>
      <c r="I112" s="14">
        <v>1.0</v>
      </c>
      <c r="J112" s="15">
        <f>IFERROR(__xludf.DUMMYFUNCTION("GOOGLEFINANCE(""CURRENCY:USDNGN"")"),1370.74)</f>
        <v>1370.74</v>
      </c>
      <c r="K112" s="14">
        <f t="shared" si="1"/>
        <v>671.6626</v>
      </c>
      <c r="L112" s="23"/>
      <c r="M112" s="14">
        <f t="shared" si="2"/>
        <v>671.66</v>
      </c>
      <c r="N112" s="14">
        <f t="shared" si="3"/>
        <v>0.4899981032</v>
      </c>
      <c r="O112" s="17"/>
      <c r="P112" s="18">
        <f>IFERROR(__xludf.DUMMYFUNCTION("GOOGLEFINANCE(""CURRENCY:USDNGN"")"),1370.74)</f>
        <v>1370.74</v>
      </c>
      <c r="Q112" s="17"/>
    </row>
    <row r="113" ht="15.75" customHeight="1">
      <c r="A113" s="12" t="s">
        <v>462</v>
      </c>
      <c r="B113" s="24" t="s">
        <v>463</v>
      </c>
      <c r="C113" s="12" t="s">
        <v>464</v>
      </c>
      <c r="D113" s="12" t="s">
        <v>465</v>
      </c>
      <c r="E113" s="13">
        <v>0.95</v>
      </c>
      <c r="F113" s="12" t="s">
        <v>22</v>
      </c>
      <c r="G113" s="14">
        <f>Dashboard!$B$3</f>
        <v>1</v>
      </c>
      <c r="H113" s="14">
        <f>MAX(Dashboard!$B$4,G113*E113)</f>
        <v>0.95</v>
      </c>
      <c r="I113" s="14">
        <v>1.0</v>
      </c>
      <c r="J113" s="15">
        <f>IFERROR(__xludf.DUMMYFUNCTION("GOOGLEFINANCE(""CURRENCY:USDNOK"")"),9.18441)</f>
        <v>9.18441</v>
      </c>
      <c r="K113" s="14">
        <f t="shared" si="1"/>
        <v>8.7251895</v>
      </c>
      <c r="L113" s="23"/>
      <c r="M113" s="14">
        <f t="shared" si="2"/>
        <v>8.73</v>
      </c>
      <c r="N113" s="14">
        <f t="shared" si="3"/>
        <v>0.950523768</v>
      </c>
      <c r="O113" s="17"/>
      <c r="P113" s="18">
        <f>IFERROR(__xludf.DUMMYFUNCTION("GOOGLEFINANCE(""CURRENCY:USDNOK"")"),9.18441)</f>
        <v>9.18441</v>
      </c>
      <c r="Q113" s="17"/>
    </row>
    <row r="114" ht="15.75" customHeight="1">
      <c r="A114" s="12" t="s">
        <v>466</v>
      </c>
      <c r="B114" s="12" t="s">
        <v>467</v>
      </c>
      <c r="C114" s="12" t="s">
        <v>468</v>
      </c>
      <c r="D114" s="12" t="s">
        <v>469</v>
      </c>
      <c r="E114" s="13">
        <v>0.75</v>
      </c>
      <c r="F114" s="12" t="s">
        <v>26</v>
      </c>
      <c r="G114" s="14">
        <f>Dashboard!$B$3</f>
        <v>1</v>
      </c>
      <c r="H114" s="14">
        <f>MAX(Dashboard!$B$4,G114*E114)</f>
        <v>0.75</v>
      </c>
      <c r="I114" s="14">
        <v>1.0</v>
      </c>
      <c r="J114" s="15">
        <f>IFERROR(__xludf.DUMMYFUNCTION("GOOGLEFINANCE(""CURRENCY:USDOMR"")"),0.38450399999999996)</f>
        <v>0.384504</v>
      </c>
      <c r="K114" s="14">
        <f t="shared" si="1"/>
        <v>0.288378</v>
      </c>
      <c r="L114" s="23"/>
      <c r="M114" s="14">
        <f t="shared" si="2"/>
        <v>0.29</v>
      </c>
      <c r="N114" s="14">
        <f t="shared" si="3"/>
        <v>0.7542184217</v>
      </c>
      <c r="O114" s="17"/>
      <c r="P114" s="18">
        <f>IFERROR(__xludf.DUMMYFUNCTION("GOOGLEFINANCE(""CURRENCY:USDOMR"")"),0.38450399999999996)</f>
        <v>0.384504</v>
      </c>
      <c r="Q114" s="17"/>
    </row>
    <row r="115" ht="15.75" customHeight="1">
      <c r="A115" s="12" t="s">
        <v>470</v>
      </c>
      <c r="B115" s="24" t="s">
        <v>471</v>
      </c>
      <c r="C115" s="12" t="s">
        <v>472</v>
      </c>
      <c r="D115" s="12" t="s">
        <v>473</v>
      </c>
      <c r="E115" s="13">
        <v>0.18</v>
      </c>
      <c r="F115" s="12" t="s">
        <v>66</v>
      </c>
      <c r="G115" s="14">
        <f>Dashboard!$B$3</f>
        <v>1</v>
      </c>
      <c r="H115" s="14">
        <f>MAX(Dashboard!$B$4,G115*E115)</f>
        <v>0.49</v>
      </c>
      <c r="I115" s="14">
        <v>1.0</v>
      </c>
      <c r="J115" s="15">
        <f>IFERROR(__xludf.DUMMYFUNCTION("GOOGLEFINANCE(""CURRENCY:USDPKR"")"),278.607)</f>
        <v>278.607</v>
      </c>
      <c r="K115" s="14">
        <f t="shared" si="1"/>
        <v>136.51743</v>
      </c>
      <c r="L115" s="23"/>
      <c r="M115" s="14">
        <f t="shared" si="2"/>
        <v>136.52</v>
      </c>
      <c r="N115" s="14">
        <f t="shared" si="3"/>
        <v>0.4900092245</v>
      </c>
      <c r="O115" s="17"/>
      <c r="P115" s="18">
        <f>IFERROR(__xludf.DUMMYFUNCTION("GOOGLEFINANCE(""CURRENCY:USDPKR"")"),278.607)</f>
        <v>278.607</v>
      </c>
      <c r="Q115" s="17"/>
    </row>
    <row r="116" ht="15.75" customHeight="1">
      <c r="A116" s="12" t="s">
        <v>474</v>
      </c>
      <c r="B116" s="12" t="s">
        <v>474</v>
      </c>
      <c r="C116" s="12" t="s">
        <v>475</v>
      </c>
      <c r="D116" s="12" t="s">
        <v>476</v>
      </c>
      <c r="E116" s="13">
        <v>0.6</v>
      </c>
      <c r="F116" s="12" t="s">
        <v>30</v>
      </c>
      <c r="G116" s="14">
        <f>Dashboard!$B$3</f>
        <v>1</v>
      </c>
      <c r="H116" s="14">
        <f>MAX(Dashboard!$B$4,G116*E116)</f>
        <v>0.6</v>
      </c>
      <c r="I116" s="14">
        <v>1.0</v>
      </c>
      <c r="J116" s="15">
        <f>IFERROR(__xludf.DUMMYFUNCTION("GOOGLEFINANCE(""CURRENCY:USDPAB"")"),1.000141)</f>
        <v>1.000141</v>
      </c>
      <c r="K116" s="14">
        <f t="shared" si="1"/>
        <v>0.6000846</v>
      </c>
      <c r="L116" s="23"/>
      <c r="M116" s="14">
        <f t="shared" si="2"/>
        <v>0.6</v>
      </c>
      <c r="N116" s="14">
        <f t="shared" si="3"/>
        <v>0.5999154119</v>
      </c>
      <c r="O116" s="17"/>
      <c r="P116" s="18">
        <f>IFERROR(__xludf.DUMMYFUNCTION("GOOGLEFINANCE(""CURRENCY:USDPAB"")"),1.000141)</f>
        <v>1.000141</v>
      </c>
      <c r="Q116" s="17"/>
    </row>
    <row r="117" ht="15.75" customHeight="1">
      <c r="A117" s="12" t="s">
        <v>477</v>
      </c>
      <c r="B117" s="24" t="s">
        <v>478</v>
      </c>
      <c r="C117" s="12" t="s">
        <v>479</v>
      </c>
      <c r="D117" s="12" t="s">
        <v>480</v>
      </c>
      <c r="E117" s="13">
        <v>0.25</v>
      </c>
      <c r="F117" s="12" t="s">
        <v>66</v>
      </c>
      <c r="G117" s="14">
        <f>Dashboard!$B$3</f>
        <v>1</v>
      </c>
      <c r="H117" s="14">
        <f>MAX(Dashboard!$B$4,G117*E117)</f>
        <v>0.49</v>
      </c>
      <c r="I117" s="14">
        <v>1.0</v>
      </c>
      <c r="J117" s="15">
        <f>IFERROR(__xludf.DUMMYFUNCTION("GOOGLEFINANCE(""CURRENCY:USDPGK"")"),4.356269999999999)</f>
        <v>4.35627</v>
      </c>
      <c r="K117" s="14">
        <f t="shared" si="1"/>
        <v>2.1345723</v>
      </c>
      <c r="L117" s="23"/>
      <c r="M117" s="14">
        <f t="shared" si="2"/>
        <v>2.13</v>
      </c>
      <c r="N117" s="14">
        <f t="shared" si="3"/>
        <v>0.4889504094</v>
      </c>
      <c r="O117" s="17"/>
      <c r="P117" s="18">
        <f>IFERROR(__xludf.DUMMYFUNCTION("GOOGLEFINANCE(""CURRENCY:USDPGK"")"),4.356269999999999)</f>
        <v>4.35627</v>
      </c>
      <c r="Q117" s="17"/>
    </row>
    <row r="118" ht="15.75" customHeight="1">
      <c r="A118" s="12" t="s">
        <v>481</v>
      </c>
      <c r="B118" s="12" t="s">
        <v>481</v>
      </c>
      <c r="C118" s="12" t="s">
        <v>482</v>
      </c>
      <c r="D118" s="12" t="s">
        <v>483</v>
      </c>
      <c r="E118" s="13">
        <v>0.35</v>
      </c>
      <c r="F118" s="12" t="s">
        <v>57</v>
      </c>
      <c r="G118" s="14">
        <f>Dashboard!$B$3</f>
        <v>1</v>
      </c>
      <c r="H118" s="14">
        <f>MAX(Dashboard!$B$4,G118*E118)</f>
        <v>0.49</v>
      </c>
      <c r="I118" s="14">
        <v>1.0</v>
      </c>
      <c r="J118" s="15">
        <f>IFERROR(__xludf.DUMMYFUNCTION("GOOGLEFINANCE(""CURRENCY:USDPYG"")"),6105.082)</f>
        <v>6105.082</v>
      </c>
      <c r="K118" s="14">
        <f t="shared" si="1"/>
        <v>2991.49018</v>
      </c>
      <c r="L118" s="23"/>
      <c r="M118" s="14">
        <f t="shared" si="2"/>
        <v>2991.49</v>
      </c>
      <c r="N118" s="14">
        <f t="shared" si="3"/>
        <v>0.4899999705</v>
      </c>
      <c r="O118" s="17"/>
      <c r="P118" s="18">
        <f>IFERROR(__xludf.DUMMYFUNCTION("GOOGLEFINANCE(""CURRENCY:USDPYG"")"),6105.082)</f>
        <v>6105.082</v>
      </c>
      <c r="Q118" s="17"/>
    </row>
    <row r="119" ht="15.75" customHeight="1">
      <c r="A119" s="12" t="s">
        <v>484</v>
      </c>
      <c r="B119" s="12" t="s">
        <v>484</v>
      </c>
      <c r="C119" s="12" t="s">
        <v>485</v>
      </c>
      <c r="D119" s="12" t="s">
        <v>486</v>
      </c>
      <c r="E119" s="13">
        <v>0.35</v>
      </c>
      <c r="F119" s="12" t="s">
        <v>57</v>
      </c>
      <c r="G119" s="14">
        <f>Dashboard!$B$3</f>
        <v>1</v>
      </c>
      <c r="H119" s="14">
        <f>MAX(Dashboard!$B$4,G119*E119)</f>
        <v>0.49</v>
      </c>
      <c r="I119" s="14">
        <v>1.0</v>
      </c>
      <c r="J119" s="15">
        <f>IFERROR(__xludf.DUMMYFUNCTION("GOOGLEFINANCE(""CURRENCY:USDPEN"")"),3.427688)</f>
        <v>3.427688</v>
      </c>
      <c r="K119" s="14">
        <f t="shared" si="1"/>
        <v>1.67956712</v>
      </c>
      <c r="L119" s="23"/>
      <c r="M119" s="14">
        <f t="shared" si="2"/>
        <v>1.68</v>
      </c>
      <c r="N119" s="14">
        <f t="shared" si="3"/>
        <v>0.4901262892</v>
      </c>
      <c r="O119" s="17"/>
      <c r="P119" s="18">
        <f>IFERROR(__xludf.DUMMYFUNCTION("GOOGLEFINANCE(""CURRENCY:USDPEN"")"),3.427688)</f>
        <v>3.427688</v>
      </c>
      <c r="Q119" s="17"/>
    </row>
    <row r="120" ht="15.75" customHeight="1">
      <c r="A120" s="12" t="s">
        <v>487</v>
      </c>
      <c r="B120" s="24" t="s">
        <v>488</v>
      </c>
      <c r="C120" s="12" t="s">
        <v>489</v>
      </c>
      <c r="D120" s="12" t="s">
        <v>490</v>
      </c>
      <c r="E120" s="13">
        <v>0.27</v>
      </c>
      <c r="F120" s="12" t="s">
        <v>57</v>
      </c>
      <c r="G120" s="14">
        <f>Dashboard!$B$3</f>
        <v>1</v>
      </c>
      <c r="H120" s="14">
        <f>MAX(Dashboard!$B$4,G120*E120)</f>
        <v>0.49</v>
      </c>
      <c r="I120" s="14">
        <v>1.0</v>
      </c>
      <c r="J120" s="15">
        <f>IFERROR(__xludf.DUMMYFUNCTION("GOOGLEFINANCE(""CURRENCY:USDPHP"")"),61.46750000000001)</f>
        <v>61.4675</v>
      </c>
      <c r="K120" s="14">
        <f t="shared" si="1"/>
        <v>30.119075</v>
      </c>
      <c r="L120" s="23"/>
      <c r="M120" s="14">
        <f t="shared" si="2"/>
        <v>30.12</v>
      </c>
      <c r="N120" s="14">
        <f t="shared" si="3"/>
        <v>0.4900150486</v>
      </c>
      <c r="O120" s="17"/>
      <c r="P120" s="18">
        <f>IFERROR(__xludf.DUMMYFUNCTION("GOOGLEFINANCE(""CURRENCY:USDPHP"")"),61.46750000000001)</f>
        <v>61.4675</v>
      </c>
      <c r="Q120" s="17"/>
    </row>
    <row r="121" ht="15.75" customHeight="1">
      <c r="A121" s="12" t="s">
        <v>491</v>
      </c>
      <c r="B121" s="17" t="s">
        <v>492</v>
      </c>
      <c r="C121" s="12" t="s">
        <v>493</v>
      </c>
      <c r="D121" s="17" t="s">
        <v>494</v>
      </c>
      <c r="E121" s="19">
        <v>0.55</v>
      </c>
      <c r="F121" s="17" t="str">
        <f>IF(E121&gt;=0.8,"A",IF(E121&gt;=0.6,"B",IF(E121&gt;=0.4,"C",IF(E121&gt;=0.2,"D","E"))))</f>
        <v>C</v>
      </c>
      <c r="G121" s="14">
        <f>Dashboard!$B$3</f>
        <v>1</v>
      </c>
      <c r="H121" s="14">
        <f>MAX(Dashboard!$B$4,G121*E121)</f>
        <v>0.55</v>
      </c>
      <c r="I121" s="25">
        <v>0.95</v>
      </c>
      <c r="J121" s="20">
        <f>IFERROR(__xludf.DUMMYFUNCTION("GOOGLEFINANCE(""CURRENCY:USDPLN"")"),3.6230499999999997)</f>
        <v>3.62305</v>
      </c>
      <c r="K121" s="14">
        <f t="shared" si="1"/>
        <v>1.893043625</v>
      </c>
      <c r="L121" s="21" t="s">
        <v>84</v>
      </c>
      <c r="M121" s="14">
        <f t="shared" si="2"/>
        <v>1.99</v>
      </c>
      <c r="N121" s="14">
        <f t="shared" si="3"/>
        <v>0.5492609818</v>
      </c>
      <c r="O121" s="17" t="str">
        <f>IF(N121&lt;Dashboard!$B$4,"Below global min",IF(AND(E121&gt;=0.8,N121&lt;Dashboard!$B$5),"Raise high-PPP floor","OK"))</f>
        <v>OK</v>
      </c>
      <c r="P121" s="22">
        <f>IFERROR(__xludf.DUMMYFUNCTION("GOOGLEFINANCE(""CURRENCY:USDPLN"")"),3.6230499999999997)</f>
        <v>3.62305</v>
      </c>
      <c r="Q121" s="17"/>
    </row>
    <row r="122" ht="15.75" customHeight="1">
      <c r="A122" s="12" t="s">
        <v>495</v>
      </c>
      <c r="B122" s="24" t="s">
        <v>496</v>
      </c>
      <c r="C122" s="12" t="s">
        <v>497</v>
      </c>
      <c r="D122" s="12" t="s">
        <v>93</v>
      </c>
      <c r="E122" s="13">
        <v>0.7</v>
      </c>
      <c r="F122" s="12" t="s">
        <v>26</v>
      </c>
      <c r="G122" s="14">
        <f>Dashboard!$B$3</f>
        <v>1</v>
      </c>
      <c r="H122" s="14">
        <f>MAX(Dashboard!$B$4,G122*E122)</f>
        <v>0.7</v>
      </c>
      <c r="I122" s="14">
        <v>1.0</v>
      </c>
      <c r="J122" s="15">
        <f>IFERROR(__xludf.DUMMYFUNCTION("GOOGLEFINANCE(""CURRENCY:USDEUR"")"),0.8519)</f>
        <v>0.8519</v>
      </c>
      <c r="K122" s="14">
        <f t="shared" si="1"/>
        <v>0.59633</v>
      </c>
      <c r="L122" s="23"/>
      <c r="M122" s="14">
        <f t="shared" si="2"/>
        <v>0.6</v>
      </c>
      <c r="N122" s="14">
        <f t="shared" si="3"/>
        <v>0.7043080174</v>
      </c>
      <c r="O122" s="17"/>
      <c r="P122" s="18">
        <f>IFERROR(__xludf.DUMMYFUNCTION("GOOGLEFINANCE(""CURRENCY:USDEUR"")"),0.8519)</f>
        <v>0.8519</v>
      </c>
      <c r="Q122" s="17"/>
    </row>
    <row r="123" ht="15.75" customHeight="1">
      <c r="A123" s="12" t="s">
        <v>498</v>
      </c>
      <c r="B123" s="12" t="s">
        <v>499</v>
      </c>
      <c r="C123" s="12" t="s">
        <v>500</v>
      </c>
      <c r="D123" s="12" t="s">
        <v>501</v>
      </c>
      <c r="E123" s="13">
        <v>0.95</v>
      </c>
      <c r="F123" s="12" t="s">
        <v>22</v>
      </c>
      <c r="G123" s="14">
        <f>Dashboard!$B$3</f>
        <v>1</v>
      </c>
      <c r="H123" s="14">
        <f>MAX(Dashboard!$B$4,G123*E123)</f>
        <v>0.95</v>
      </c>
      <c r="I123" s="14">
        <v>1.0</v>
      </c>
      <c r="J123" s="15">
        <f>IFERROR(__xludf.DUMMYFUNCTION("GOOGLEFINANCE(""CURRENCY:USDQAR"")"),3.645602)</f>
        <v>3.645602</v>
      </c>
      <c r="K123" s="14">
        <f t="shared" si="1"/>
        <v>3.4633219</v>
      </c>
      <c r="L123" s="23"/>
      <c r="M123" s="14">
        <f t="shared" si="2"/>
        <v>3.46</v>
      </c>
      <c r="N123" s="14">
        <f t="shared" si="3"/>
        <v>0.9490887925</v>
      </c>
      <c r="O123" s="17"/>
      <c r="P123" s="18">
        <f>IFERROR(__xludf.DUMMYFUNCTION("GOOGLEFINANCE(""CURRENCY:USDQAR"")"),3.645602)</f>
        <v>3.645602</v>
      </c>
      <c r="Q123" s="17"/>
    </row>
    <row r="124" ht="15.75" customHeight="1">
      <c r="A124" s="12" t="s">
        <v>502</v>
      </c>
      <c r="B124" s="24" t="s">
        <v>503</v>
      </c>
      <c r="C124" s="12" t="s">
        <v>504</v>
      </c>
      <c r="D124" s="12" t="s">
        <v>505</v>
      </c>
      <c r="E124" s="13">
        <v>0.45</v>
      </c>
      <c r="F124" s="12" t="s">
        <v>30</v>
      </c>
      <c r="G124" s="14">
        <f>Dashboard!$B$3</f>
        <v>1</v>
      </c>
      <c r="H124" s="14">
        <f>MAX(Dashboard!$B$4,G124*E124)</f>
        <v>0.49</v>
      </c>
      <c r="I124" s="14">
        <v>1.0</v>
      </c>
      <c r="J124" s="15">
        <f>IFERROR(__xludf.DUMMYFUNCTION("GOOGLEFINANCE(""CURRENCY:USDMKD"")"),52.50694000000001)</f>
        <v>52.50694</v>
      </c>
      <c r="K124" s="14">
        <f t="shared" si="1"/>
        <v>25.7284006</v>
      </c>
      <c r="L124" s="23"/>
      <c r="M124" s="14">
        <f t="shared" si="2"/>
        <v>25.73</v>
      </c>
      <c r="N124" s="14">
        <f t="shared" si="3"/>
        <v>0.4900304607</v>
      </c>
      <c r="O124" s="17"/>
      <c r="P124" s="18">
        <f>IFERROR(__xludf.DUMMYFUNCTION("GOOGLEFINANCE(""CURRENCY:USDMKD"")"),52.50694000000001)</f>
        <v>52.50694</v>
      </c>
      <c r="Q124" s="17"/>
    </row>
    <row r="125" ht="15.75" customHeight="1">
      <c r="A125" s="12" t="s">
        <v>506</v>
      </c>
      <c r="B125" s="24" t="s">
        <v>507</v>
      </c>
      <c r="C125" s="12" t="s">
        <v>508</v>
      </c>
      <c r="D125" s="12" t="s">
        <v>509</v>
      </c>
      <c r="E125" s="13">
        <v>0.45</v>
      </c>
      <c r="F125" s="12" t="s">
        <v>30</v>
      </c>
      <c r="G125" s="14">
        <f>Dashboard!$B$3</f>
        <v>1</v>
      </c>
      <c r="H125" s="14">
        <f>MAX(Dashboard!$B$4,G125*E125)</f>
        <v>0.49</v>
      </c>
      <c r="I125" s="14">
        <v>1.0</v>
      </c>
      <c r="J125" s="15">
        <f>IFERROR(__xludf.DUMMYFUNCTION("GOOGLEFINANCE(""CURRENCY:USDRON"")"),4.4326)</f>
        <v>4.4326</v>
      </c>
      <c r="K125" s="14">
        <f t="shared" si="1"/>
        <v>2.171974</v>
      </c>
      <c r="L125" s="23"/>
      <c r="M125" s="14">
        <f t="shared" si="2"/>
        <v>2.17</v>
      </c>
      <c r="N125" s="14">
        <f t="shared" si="3"/>
        <v>0.4895546632</v>
      </c>
      <c r="O125" s="17"/>
      <c r="P125" s="18">
        <f>IFERROR(__xludf.DUMMYFUNCTION("GOOGLEFINANCE(""CURRENCY:USDRON"")"),4.4326)</f>
        <v>4.4326</v>
      </c>
      <c r="Q125" s="17"/>
    </row>
    <row r="126" ht="15.75" customHeight="1">
      <c r="A126" s="12" t="s">
        <v>510</v>
      </c>
      <c r="B126" s="24" t="s">
        <v>511</v>
      </c>
      <c r="C126" s="12" t="s">
        <v>512</v>
      </c>
      <c r="D126" s="12" t="s">
        <v>513</v>
      </c>
      <c r="E126" s="13">
        <v>0.45</v>
      </c>
      <c r="F126" s="12" t="s">
        <v>30</v>
      </c>
      <c r="G126" s="14">
        <f>Dashboard!$B$3</f>
        <v>1</v>
      </c>
      <c r="H126" s="14">
        <f>MAX(Dashboard!$B$4,G126*E126)</f>
        <v>0.49</v>
      </c>
      <c r="I126" s="14">
        <v>1.0</v>
      </c>
      <c r="J126" s="15">
        <f>IFERROR(__xludf.DUMMYFUNCTION("GOOGLEFINANCE(""CURRENCY:USDRUB"")"),73.82408000000001)</f>
        <v>73.82408</v>
      </c>
      <c r="K126" s="14">
        <f t="shared" si="1"/>
        <v>36.1737992</v>
      </c>
      <c r="L126" s="23"/>
      <c r="M126" s="14">
        <f t="shared" si="2"/>
        <v>36.17</v>
      </c>
      <c r="N126" s="14">
        <f t="shared" si="3"/>
        <v>0.4899485371</v>
      </c>
      <c r="O126" s="17"/>
      <c r="P126" s="18">
        <f>IFERROR(__xludf.DUMMYFUNCTION("GOOGLEFINANCE(""CURRENCY:USDRUB"")"),73.82408000000001)</f>
        <v>73.82408</v>
      </c>
      <c r="Q126" s="17"/>
    </row>
    <row r="127" ht="15.75" customHeight="1">
      <c r="A127" s="12" t="s">
        <v>514</v>
      </c>
      <c r="B127" s="24" t="s">
        <v>515</v>
      </c>
      <c r="C127" s="12" t="s">
        <v>516</v>
      </c>
      <c r="D127" s="12" t="s">
        <v>517</v>
      </c>
      <c r="E127" s="13">
        <v>0.18</v>
      </c>
      <c r="F127" s="12" t="s">
        <v>66</v>
      </c>
      <c r="G127" s="14">
        <f>Dashboard!$B$3</f>
        <v>1</v>
      </c>
      <c r="H127" s="14">
        <f>MAX(Dashboard!$B$4,G127*E127)</f>
        <v>0.49</v>
      </c>
      <c r="I127" s="14">
        <v>1.0</v>
      </c>
      <c r="J127" s="15">
        <f>IFERROR(__xludf.DUMMYFUNCTION("GOOGLEFINANCE(""CURRENCY:USDRWF"")"),1462.766)</f>
        <v>1462.766</v>
      </c>
      <c r="K127" s="14">
        <f t="shared" si="1"/>
        <v>716.75534</v>
      </c>
      <c r="L127" s="23"/>
      <c r="M127" s="14">
        <f t="shared" si="2"/>
        <v>716.76</v>
      </c>
      <c r="N127" s="14">
        <f t="shared" si="3"/>
        <v>0.4900031857</v>
      </c>
      <c r="O127" s="17"/>
      <c r="P127" s="18">
        <f>IFERROR(__xludf.DUMMYFUNCTION("GOOGLEFINANCE(""CURRENCY:USDRWF"")"),1462.766)</f>
        <v>1462.766</v>
      </c>
      <c r="Q127" s="17"/>
    </row>
    <row r="128" ht="15.75" customHeight="1">
      <c r="A128" s="12" t="s">
        <v>518</v>
      </c>
      <c r="B128" s="24" t="s">
        <v>519</v>
      </c>
      <c r="C128" s="12" t="s">
        <v>520</v>
      </c>
      <c r="D128" s="12" t="s">
        <v>71</v>
      </c>
      <c r="E128" s="13">
        <v>0.65</v>
      </c>
      <c r="F128" s="12" t="s">
        <v>26</v>
      </c>
      <c r="G128" s="14">
        <f>Dashboard!$B$3</f>
        <v>1</v>
      </c>
      <c r="H128" s="14">
        <f>MAX(Dashboard!$B$4,G128*E128)</f>
        <v>0.65</v>
      </c>
      <c r="I128" s="14">
        <v>1.0</v>
      </c>
      <c r="J128" s="15">
        <f>IFERROR(__xludf.DUMMYFUNCTION("GOOGLEFINANCE(""CURRENCY:USDXCD"")"),2.70255)</f>
        <v>2.70255</v>
      </c>
      <c r="K128" s="14">
        <f t="shared" si="1"/>
        <v>1.7566575</v>
      </c>
      <c r="L128" s="23"/>
      <c r="M128" s="14">
        <f t="shared" si="2"/>
        <v>1.76</v>
      </c>
      <c r="N128" s="14">
        <f t="shared" si="3"/>
        <v>0.6512367949</v>
      </c>
      <c r="O128" s="17"/>
      <c r="P128" s="18">
        <f>IFERROR(__xludf.DUMMYFUNCTION("GOOGLEFINANCE(""CURRENCY:USDXCD"")"),2.70255)</f>
        <v>2.70255</v>
      </c>
      <c r="Q128" s="17"/>
    </row>
    <row r="129" ht="15.75" customHeight="1">
      <c r="A129" s="12" t="s">
        <v>521</v>
      </c>
      <c r="B129" s="24" t="s">
        <v>522</v>
      </c>
      <c r="C129" s="12" t="s">
        <v>523</v>
      </c>
      <c r="D129" s="12" t="s">
        <v>71</v>
      </c>
      <c r="E129" s="13">
        <v>0.55</v>
      </c>
      <c r="F129" s="12" t="s">
        <v>30</v>
      </c>
      <c r="G129" s="14">
        <f>Dashboard!$B$3</f>
        <v>1</v>
      </c>
      <c r="H129" s="14">
        <f>MAX(Dashboard!$B$4,G129*E129)</f>
        <v>0.55</v>
      </c>
      <c r="I129" s="14">
        <v>1.0</v>
      </c>
      <c r="J129" s="15">
        <f>IFERROR(__xludf.DUMMYFUNCTION("GOOGLEFINANCE(""CURRENCY:USDXCD"")"),2.70255)</f>
        <v>2.70255</v>
      </c>
      <c r="K129" s="14">
        <f t="shared" si="1"/>
        <v>1.4864025</v>
      </c>
      <c r="L129" s="23"/>
      <c r="M129" s="14">
        <f t="shared" si="2"/>
        <v>1.49</v>
      </c>
      <c r="N129" s="14">
        <f t="shared" si="3"/>
        <v>0.5513311502</v>
      </c>
      <c r="O129" s="17"/>
      <c r="P129" s="18">
        <f>IFERROR(__xludf.DUMMYFUNCTION("GOOGLEFINANCE(""CURRENCY:USDXCD"")"),2.70255)</f>
        <v>2.70255</v>
      </c>
      <c r="Q129" s="17"/>
    </row>
    <row r="130" ht="15.75" customHeight="1">
      <c r="A130" s="12" t="s">
        <v>524</v>
      </c>
      <c r="B130" s="12" t="s">
        <v>524</v>
      </c>
      <c r="C130" s="12" t="s">
        <v>525</v>
      </c>
      <c r="D130" s="12" t="s">
        <v>526</v>
      </c>
      <c r="E130" s="13">
        <v>0.3</v>
      </c>
      <c r="F130" s="12" t="s">
        <v>57</v>
      </c>
      <c r="G130" s="14">
        <f>Dashboard!$B$3</f>
        <v>1</v>
      </c>
      <c r="H130" s="14">
        <f>MAX(Dashboard!$B$4,G130*E130)</f>
        <v>0.49</v>
      </c>
      <c r="I130" s="14">
        <v>1.0</v>
      </c>
      <c r="J130" s="15" t="str">
        <f>IFERROR(__xludf.DUMMYFUNCTION("GOOGLEFINANCE(""CURRENCY:USDWST"")"),"#N/A")</f>
        <v>#N/A</v>
      </c>
      <c r="K130" s="14" t="str">
        <f t="shared" si="1"/>
        <v>#N/A</v>
      </c>
      <c r="L130" s="23"/>
      <c r="M130" s="14" t="str">
        <f t="shared" si="2"/>
        <v>#N/A</v>
      </c>
      <c r="N130" s="14" t="str">
        <f t="shared" si="3"/>
        <v>#N/A</v>
      </c>
      <c r="O130" s="17"/>
      <c r="P130" s="18" t="str">
        <f>IFERROR(__xludf.DUMMYFUNCTION("GOOGLEFINANCE(""CURRENCY:USDWST"")"),"#N/A")</f>
        <v>#N/A</v>
      </c>
      <c r="Q130" s="17"/>
    </row>
    <row r="131" ht="15.75" customHeight="1">
      <c r="A131" s="12" t="s">
        <v>527</v>
      </c>
      <c r="B131" s="24" t="s">
        <v>528</v>
      </c>
      <c r="C131" s="12" t="s">
        <v>529</v>
      </c>
      <c r="D131" s="12" t="s">
        <v>93</v>
      </c>
      <c r="E131" s="13">
        <v>0.9</v>
      </c>
      <c r="F131" s="12" t="s">
        <v>22</v>
      </c>
      <c r="G131" s="14">
        <f>Dashboard!$B$3</f>
        <v>1</v>
      </c>
      <c r="H131" s="14">
        <f>MAX(Dashboard!$B$4,G131*E131)</f>
        <v>0.9</v>
      </c>
      <c r="I131" s="14">
        <v>1.0</v>
      </c>
      <c r="J131" s="15">
        <f>IFERROR(__xludf.DUMMYFUNCTION("GOOGLEFINANCE(""CURRENCY:USDEUR"")"),0.8519)</f>
        <v>0.8519</v>
      </c>
      <c r="K131" s="14">
        <f t="shared" si="1"/>
        <v>0.76671</v>
      </c>
      <c r="L131" s="23"/>
      <c r="M131" s="14">
        <f t="shared" si="2"/>
        <v>0.77</v>
      </c>
      <c r="N131" s="14">
        <f t="shared" si="3"/>
        <v>0.9038619556</v>
      </c>
      <c r="O131" s="17"/>
      <c r="P131" s="18">
        <f>IFERROR(__xludf.DUMMYFUNCTION("GOOGLEFINANCE(""CURRENCY:USDEUR"")"),0.8519)</f>
        <v>0.8519</v>
      </c>
      <c r="Q131" s="17"/>
    </row>
    <row r="132" ht="15.75" customHeight="1">
      <c r="A132" s="12" t="s">
        <v>530</v>
      </c>
      <c r="B132" s="24" t="s">
        <v>531</v>
      </c>
      <c r="C132" s="12" t="s">
        <v>532</v>
      </c>
      <c r="D132" s="12" t="s">
        <v>533</v>
      </c>
      <c r="E132" s="13">
        <v>0.8</v>
      </c>
      <c r="F132" s="12" t="s">
        <v>26</v>
      </c>
      <c r="G132" s="14">
        <f>Dashboard!$B$3</f>
        <v>1</v>
      </c>
      <c r="H132" s="14">
        <f>MAX(Dashboard!$B$4,G132*E132)</f>
        <v>0.8</v>
      </c>
      <c r="I132" s="14">
        <v>1.0</v>
      </c>
      <c r="J132" s="15">
        <f>IFERROR(__xludf.DUMMYFUNCTION("GOOGLEFINANCE(""CURRENCY:USDSAR"")"),3.753272)</f>
        <v>3.753272</v>
      </c>
      <c r="K132" s="14">
        <f t="shared" si="1"/>
        <v>3.0026176</v>
      </c>
      <c r="L132" s="23"/>
      <c r="M132" s="14">
        <f t="shared" si="2"/>
        <v>3</v>
      </c>
      <c r="N132" s="14">
        <f t="shared" si="3"/>
        <v>0.7993025819</v>
      </c>
      <c r="O132" s="17"/>
      <c r="P132" s="18">
        <f>IFERROR(__xludf.DUMMYFUNCTION("GOOGLEFINANCE(""CURRENCY:USDSAR"")"),3.753272)</f>
        <v>3.753272</v>
      </c>
      <c r="Q132" s="17"/>
    </row>
    <row r="133" ht="15.75" customHeight="1">
      <c r="A133" s="12" t="s">
        <v>534</v>
      </c>
      <c r="B133" s="24" t="s">
        <v>535</v>
      </c>
      <c r="C133" s="12" t="s">
        <v>536</v>
      </c>
      <c r="D133" s="12" t="s">
        <v>121</v>
      </c>
      <c r="E133" s="13">
        <v>0.2</v>
      </c>
      <c r="F133" s="12" t="s">
        <v>66</v>
      </c>
      <c r="G133" s="14">
        <f>Dashboard!$B$3</f>
        <v>1</v>
      </c>
      <c r="H133" s="14">
        <f>MAX(Dashboard!$B$4,G133*E133)</f>
        <v>0.49</v>
      </c>
      <c r="I133" s="14">
        <v>1.0</v>
      </c>
      <c r="J133" s="15">
        <f>IFERROR(__xludf.DUMMYFUNCTION("GOOGLEFINANCE(""CURRENCY:USDXOF"")"),558.7654)</f>
        <v>558.7654</v>
      </c>
      <c r="K133" s="14">
        <f t="shared" si="1"/>
        <v>273.795046</v>
      </c>
      <c r="L133" s="23"/>
      <c r="M133" s="14">
        <f t="shared" si="2"/>
        <v>273.8</v>
      </c>
      <c r="N133" s="14">
        <f t="shared" si="3"/>
        <v>0.490008866</v>
      </c>
      <c r="O133" s="17"/>
      <c r="P133" s="18">
        <f>IFERROR(__xludf.DUMMYFUNCTION("GOOGLEFINANCE(""CURRENCY:USDXOF"")"),558.7654)</f>
        <v>558.7654</v>
      </c>
      <c r="Q133" s="17"/>
    </row>
    <row r="134" ht="15.75" customHeight="1">
      <c r="A134" s="12" t="s">
        <v>537</v>
      </c>
      <c r="B134" s="12" t="s">
        <v>538</v>
      </c>
      <c r="C134" s="12" t="s">
        <v>539</v>
      </c>
      <c r="D134" s="12" t="s">
        <v>540</v>
      </c>
      <c r="E134" s="13">
        <v>0.45</v>
      </c>
      <c r="F134" s="12" t="s">
        <v>30</v>
      </c>
      <c r="G134" s="14">
        <f>Dashboard!$B$3</f>
        <v>1</v>
      </c>
      <c r="H134" s="14">
        <f>MAX(Dashboard!$B$4,G134*E134)</f>
        <v>0.49</v>
      </c>
      <c r="I134" s="14">
        <v>1.0</v>
      </c>
      <c r="J134" s="15">
        <f>IFERROR(__xludf.DUMMYFUNCTION("GOOGLEFINANCE(""CURRENCY:USDRSD"")"),100.004)</f>
        <v>100.004</v>
      </c>
      <c r="K134" s="14">
        <f t="shared" si="1"/>
        <v>49.00196</v>
      </c>
      <c r="L134" s="23"/>
      <c r="M134" s="14">
        <f t="shared" si="2"/>
        <v>49</v>
      </c>
      <c r="N134" s="14">
        <f t="shared" si="3"/>
        <v>0.4899804008</v>
      </c>
      <c r="O134" s="17"/>
      <c r="P134" s="18">
        <f>IFERROR(__xludf.DUMMYFUNCTION("GOOGLEFINANCE(""CURRENCY:USDRSD"")"),100.004)</f>
        <v>100.004</v>
      </c>
      <c r="Q134" s="17"/>
    </row>
    <row r="135" ht="15.75" customHeight="1">
      <c r="A135" s="12" t="s">
        <v>541</v>
      </c>
      <c r="B135" s="24" t="s">
        <v>542</v>
      </c>
      <c r="C135" s="12" t="s">
        <v>543</v>
      </c>
      <c r="D135" s="12" t="s">
        <v>544</v>
      </c>
      <c r="E135" s="13">
        <v>0.65</v>
      </c>
      <c r="F135" s="12" t="s">
        <v>26</v>
      </c>
      <c r="G135" s="14">
        <f>Dashboard!$B$3</f>
        <v>1</v>
      </c>
      <c r="H135" s="14">
        <f>MAX(Dashboard!$B$4,G135*E135)</f>
        <v>0.65</v>
      </c>
      <c r="I135" s="14">
        <v>1.0</v>
      </c>
      <c r="J135" s="15">
        <f>IFERROR(__xludf.DUMMYFUNCTION("GOOGLEFINANCE(""CURRENCY:USDSCR"")"),14.111680000000002)</f>
        <v>14.11168</v>
      </c>
      <c r="K135" s="14">
        <f t="shared" si="1"/>
        <v>9.172592</v>
      </c>
      <c r="L135" s="23"/>
      <c r="M135" s="14">
        <f t="shared" si="2"/>
        <v>9.17</v>
      </c>
      <c r="N135" s="14">
        <f t="shared" si="3"/>
        <v>0.6498163224</v>
      </c>
      <c r="O135" s="17"/>
      <c r="P135" s="18">
        <f>IFERROR(__xludf.DUMMYFUNCTION("GOOGLEFINANCE(""CURRENCY:USDSCR"")"),14.111680000000002)</f>
        <v>14.11168</v>
      </c>
      <c r="Q135" s="17"/>
    </row>
    <row r="136" ht="15.75" customHeight="1">
      <c r="A136" s="12" t="s">
        <v>545</v>
      </c>
      <c r="B136" s="24" t="s">
        <v>546</v>
      </c>
      <c r="C136" s="12" t="s">
        <v>547</v>
      </c>
      <c r="D136" s="12" t="s">
        <v>548</v>
      </c>
      <c r="E136" s="13">
        <v>0.15</v>
      </c>
      <c r="F136" s="12" t="s">
        <v>66</v>
      </c>
      <c r="G136" s="14">
        <f>Dashboard!$B$3</f>
        <v>1</v>
      </c>
      <c r="H136" s="14">
        <f>MAX(Dashboard!$B$4,G136*E136)</f>
        <v>0.49</v>
      </c>
      <c r="I136" s="14">
        <v>1.0</v>
      </c>
      <c r="J136" s="15">
        <f>IFERROR(__xludf.DUMMYFUNCTION("GOOGLEFINANCE(""CURRENCY:USDSLE"")"),24.625000000000004)</f>
        <v>24.625</v>
      </c>
      <c r="K136" s="14">
        <f t="shared" si="1"/>
        <v>12.06625</v>
      </c>
      <c r="L136" s="23"/>
      <c r="M136" s="14">
        <f t="shared" si="2"/>
        <v>12.07</v>
      </c>
      <c r="N136" s="14">
        <f t="shared" si="3"/>
        <v>0.4901522843</v>
      </c>
      <c r="O136" s="17"/>
      <c r="P136" s="18">
        <f>IFERROR(__xludf.DUMMYFUNCTION("GOOGLEFINANCE(""CURRENCY:USDSLE"")"),24.625000000000004)</f>
        <v>24.625</v>
      </c>
      <c r="Q136" s="17"/>
    </row>
    <row r="137" ht="15.75" customHeight="1">
      <c r="A137" s="12" t="s">
        <v>549</v>
      </c>
      <c r="B137" s="24" t="s">
        <v>550</v>
      </c>
      <c r="C137" s="12" t="s">
        <v>551</v>
      </c>
      <c r="D137" s="12" t="s">
        <v>552</v>
      </c>
      <c r="E137" s="13">
        <v>1.0</v>
      </c>
      <c r="F137" s="12" t="s">
        <v>22</v>
      </c>
      <c r="G137" s="14">
        <f>Dashboard!$B$3</f>
        <v>1</v>
      </c>
      <c r="H137" s="14">
        <f>MAX(Dashboard!$B$4,G137*E137)</f>
        <v>1</v>
      </c>
      <c r="I137" s="14">
        <v>1.0</v>
      </c>
      <c r="J137" s="15">
        <f>IFERROR(__xludf.DUMMYFUNCTION("GOOGLEFINANCE(""CURRENCY:USDSGD"")"),1.271455)</f>
        <v>1.271455</v>
      </c>
      <c r="K137" s="14">
        <f t="shared" si="1"/>
        <v>1.271455</v>
      </c>
      <c r="L137" s="23"/>
      <c r="M137" s="14">
        <f t="shared" si="2"/>
        <v>1.27</v>
      </c>
      <c r="N137" s="14">
        <f t="shared" si="3"/>
        <v>0.9988556418</v>
      </c>
      <c r="O137" s="17"/>
      <c r="P137" s="18">
        <f>IFERROR(__xludf.DUMMYFUNCTION("GOOGLEFINANCE(""CURRENCY:USDSGD"")"),1.271455)</f>
        <v>1.271455</v>
      </c>
      <c r="Q137" s="17"/>
    </row>
    <row r="138" ht="15.75" customHeight="1">
      <c r="A138" s="12" t="s">
        <v>553</v>
      </c>
      <c r="B138" s="24" t="s">
        <v>554</v>
      </c>
      <c r="C138" s="12" t="s">
        <v>555</v>
      </c>
      <c r="D138" s="12" t="s">
        <v>93</v>
      </c>
      <c r="E138" s="13">
        <v>0.6</v>
      </c>
      <c r="F138" s="12" t="s">
        <v>30</v>
      </c>
      <c r="G138" s="14">
        <f>Dashboard!$B$3</f>
        <v>1</v>
      </c>
      <c r="H138" s="14">
        <f>MAX(Dashboard!$B$4,G138*E138)</f>
        <v>0.6</v>
      </c>
      <c r="I138" s="14">
        <v>1.0</v>
      </c>
      <c r="J138" s="15">
        <f>IFERROR(__xludf.DUMMYFUNCTION("GOOGLEFINANCE(""CURRENCY:USDEUR"")"),0.8519)</f>
        <v>0.8519</v>
      </c>
      <c r="K138" s="14">
        <f t="shared" si="1"/>
        <v>0.51114</v>
      </c>
      <c r="L138" s="23"/>
      <c r="M138" s="14">
        <f t="shared" si="2"/>
        <v>0.51</v>
      </c>
      <c r="N138" s="14">
        <f t="shared" si="3"/>
        <v>0.5986618148</v>
      </c>
      <c r="O138" s="17"/>
      <c r="P138" s="18">
        <f>IFERROR(__xludf.DUMMYFUNCTION("GOOGLEFINANCE(""CURRENCY:USDEUR"")"),0.8519)</f>
        <v>0.8519</v>
      </c>
      <c r="Q138" s="17"/>
    </row>
    <row r="139" ht="15.75" customHeight="1">
      <c r="A139" s="12" t="s">
        <v>556</v>
      </c>
      <c r="B139" s="24" t="s">
        <v>557</v>
      </c>
      <c r="C139" s="12" t="s">
        <v>558</v>
      </c>
      <c r="D139" s="12" t="s">
        <v>93</v>
      </c>
      <c r="E139" s="13">
        <v>0.7</v>
      </c>
      <c r="F139" s="12" t="s">
        <v>26</v>
      </c>
      <c r="G139" s="14">
        <f>Dashboard!$B$3</f>
        <v>1</v>
      </c>
      <c r="H139" s="14">
        <f>MAX(Dashboard!$B$4,G139*E139)</f>
        <v>0.7</v>
      </c>
      <c r="I139" s="14">
        <v>1.0</v>
      </c>
      <c r="J139" s="15">
        <f>IFERROR(__xludf.DUMMYFUNCTION("GOOGLEFINANCE(""CURRENCY:USDEUR"")"),0.8519)</f>
        <v>0.8519</v>
      </c>
      <c r="K139" s="14">
        <f t="shared" si="1"/>
        <v>0.59633</v>
      </c>
      <c r="L139" s="23"/>
      <c r="M139" s="14">
        <f t="shared" si="2"/>
        <v>0.6</v>
      </c>
      <c r="N139" s="14">
        <f t="shared" si="3"/>
        <v>0.7043080174</v>
      </c>
      <c r="O139" s="17"/>
      <c r="P139" s="18">
        <f>IFERROR(__xludf.DUMMYFUNCTION("GOOGLEFINANCE(""CURRENCY:USDEUR"")"),0.8519)</f>
        <v>0.8519</v>
      </c>
      <c r="Q139" s="17"/>
    </row>
    <row r="140" ht="15.75" customHeight="1">
      <c r="A140" s="12" t="s">
        <v>559</v>
      </c>
      <c r="B140" s="24" t="s">
        <v>560</v>
      </c>
      <c r="C140" s="12" t="s">
        <v>561</v>
      </c>
      <c r="D140" s="12" t="s">
        <v>562</v>
      </c>
      <c r="E140" s="13">
        <v>0.22</v>
      </c>
      <c r="F140" s="12" t="s">
        <v>66</v>
      </c>
      <c r="G140" s="14">
        <f>Dashboard!$B$3</f>
        <v>1</v>
      </c>
      <c r="H140" s="14">
        <f>MAX(Dashboard!$B$4,G140*E140)</f>
        <v>0.49</v>
      </c>
      <c r="I140" s="14">
        <v>1.0</v>
      </c>
      <c r="J140" s="15">
        <f>IFERROR(__xludf.DUMMYFUNCTION("GOOGLEFINANCE(""CURRENCY:USDSBD"")"),8.029009)</f>
        <v>8.029009</v>
      </c>
      <c r="K140" s="14">
        <f t="shared" si="1"/>
        <v>3.93421441</v>
      </c>
      <c r="L140" s="23"/>
      <c r="M140" s="14">
        <f t="shared" si="2"/>
        <v>3.93</v>
      </c>
      <c r="N140" s="14">
        <f t="shared" si="3"/>
        <v>0.4894751021</v>
      </c>
      <c r="O140" s="17"/>
      <c r="P140" s="18">
        <f>IFERROR(__xludf.DUMMYFUNCTION("GOOGLEFINANCE(""CURRENCY:USDSBD"")"),8.029009)</f>
        <v>8.029009</v>
      </c>
      <c r="Q140" s="17"/>
    </row>
    <row r="141" ht="15.75" customHeight="1">
      <c r="A141" s="12" t="s">
        <v>563</v>
      </c>
      <c r="B141" s="24" t="s">
        <v>564</v>
      </c>
      <c r="C141" s="12" t="s">
        <v>565</v>
      </c>
      <c r="D141" s="12" t="s">
        <v>566</v>
      </c>
      <c r="E141" s="13">
        <v>0.12</v>
      </c>
      <c r="F141" s="12" t="s">
        <v>66</v>
      </c>
      <c r="G141" s="14">
        <f>Dashboard!$B$3</f>
        <v>1</v>
      </c>
      <c r="H141" s="14">
        <f>MAX(Dashboard!$B$4,G141*E141)</f>
        <v>0.49</v>
      </c>
      <c r="I141" s="14">
        <v>1.0</v>
      </c>
      <c r="J141" s="15">
        <f>IFERROR(__xludf.DUMMYFUNCTION("GOOGLEFINANCE(""CURRENCY:USDSOS"")"),571.5795)</f>
        <v>571.5795</v>
      </c>
      <c r="K141" s="14">
        <f t="shared" si="1"/>
        <v>280.073955</v>
      </c>
      <c r="L141" s="23"/>
      <c r="M141" s="14">
        <f t="shared" si="2"/>
        <v>280.07</v>
      </c>
      <c r="N141" s="14">
        <f t="shared" si="3"/>
        <v>0.4899930806</v>
      </c>
      <c r="O141" s="17"/>
      <c r="P141" s="18">
        <f>IFERROR(__xludf.DUMMYFUNCTION("GOOGLEFINANCE(""CURRENCY:USDSOS"")"),571.5795)</f>
        <v>571.5795</v>
      </c>
      <c r="Q141" s="17"/>
    </row>
    <row r="142" ht="15.75" customHeight="1">
      <c r="A142" s="12" t="s">
        <v>567</v>
      </c>
      <c r="B142" s="12" t="s">
        <v>568</v>
      </c>
      <c r="C142" s="12" t="s">
        <v>569</v>
      </c>
      <c r="D142" s="12" t="s">
        <v>570</v>
      </c>
      <c r="E142" s="13">
        <v>0.35</v>
      </c>
      <c r="F142" s="12" t="s">
        <v>57</v>
      </c>
      <c r="G142" s="14">
        <f>Dashboard!$B$3</f>
        <v>1</v>
      </c>
      <c r="H142" s="14">
        <f>MAX(Dashboard!$B$4,G142*E142)</f>
        <v>0.49</v>
      </c>
      <c r="I142" s="14">
        <v>1.0</v>
      </c>
      <c r="J142" s="15">
        <f>IFERROR(__xludf.DUMMYFUNCTION("GOOGLEFINANCE(""CURRENCY:USDZAR"")"),16.514000000000003)</f>
        <v>16.514</v>
      </c>
      <c r="K142" s="14">
        <f t="shared" si="1"/>
        <v>8.09186</v>
      </c>
      <c r="L142" s="23"/>
      <c r="M142" s="14">
        <f t="shared" si="2"/>
        <v>8.09</v>
      </c>
      <c r="N142" s="14">
        <f t="shared" si="3"/>
        <v>0.4898873683</v>
      </c>
      <c r="O142" s="17"/>
      <c r="P142" s="18">
        <f>IFERROR(__xludf.DUMMYFUNCTION("GOOGLEFINANCE(""CURRENCY:USDZAR"")"),16.514000000000003)</f>
        <v>16.514</v>
      </c>
      <c r="Q142" s="17"/>
    </row>
    <row r="143" ht="15.75" customHeight="1">
      <c r="A143" s="12" t="s">
        <v>571</v>
      </c>
      <c r="B143" s="17" t="s">
        <v>572</v>
      </c>
      <c r="C143" s="12" t="s">
        <v>573</v>
      </c>
      <c r="D143" s="17" t="s">
        <v>574</v>
      </c>
      <c r="E143" s="19">
        <v>0.7</v>
      </c>
      <c r="F143" s="17" t="str">
        <f>IF(E143&gt;=0.8,"A",IF(E143&gt;=0.6,"B",IF(E143&gt;=0.4,"C",IF(E143&gt;=0.2,"D","E"))))</f>
        <v>B</v>
      </c>
      <c r="G143" s="14">
        <f>Dashboard!$B$3</f>
        <v>1</v>
      </c>
      <c r="H143" s="14">
        <f>MAX(Dashboard!$B$4,G143*E143)</f>
        <v>0.7</v>
      </c>
      <c r="I143" s="14">
        <v>1.0</v>
      </c>
      <c r="J143" s="20">
        <f>IFERROR(__xludf.DUMMYFUNCTION("GOOGLEFINANCE(""CURRENCY:USDKRW"")"),1492.1100000000001)</f>
        <v>1492.11</v>
      </c>
      <c r="K143" s="14">
        <f t="shared" si="1"/>
        <v>1044.477</v>
      </c>
      <c r="L143" s="21" t="s">
        <v>575</v>
      </c>
      <c r="M143" s="14">
        <f t="shared" si="2"/>
        <v>1000</v>
      </c>
      <c r="N143" s="14">
        <f t="shared" si="3"/>
        <v>0.6701918759</v>
      </c>
      <c r="O143" s="17" t="str">
        <f>IF(N143&lt;Dashboard!$B$4,"Below global min",IF(AND(E143&gt;=0.8,N143&lt;Dashboard!$B$5),"Raise high-PPP floor","OK"))</f>
        <v>OK</v>
      </c>
      <c r="P143" s="22">
        <f>IFERROR(__xludf.DUMMYFUNCTION("GOOGLEFINANCE(""CURRENCY:USDKRW"")"),1492.1100000000001)</f>
        <v>1492.11</v>
      </c>
      <c r="Q143" s="17"/>
    </row>
    <row r="144" ht="15.75" customHeight="1">
      <c r="A144" s="12" t="s">
        <v>576</v>
      </c>
      <c r="B144" s="12" t="s">
        <v>577</v>
      </c>
      <c r="C144" s="12" t="s">
        <v>578</v>
      </c>
      <c r="D144" s="12" t="s">
        <v>93</v>
      </c>
      <c r="E144" s="13">
        <v>0.75</v>
      </c>
      <c r="F144" s="12" t="s">
        <v>26</v>
      </c>
      <c r="G144" s="14">
        <f>Dashboard!$B$3</f>
        <v>1</v>
      </c>
      <c r="H144" s="14">
        <f>MAX(Dashboard!$B$4,G144*E144)</f>
        <v>0.75</v>
      </c>
      <c r="I144" s="14">
        <v>1.0</v>
      </c>
      <c r="J144" s="15">
        <f>IFERROR(__xludf.DUMMYFUNCTION("GOOGLEFINANCE(""CURRENCY:USDEUR"")"),0.8519)</f>
        <v>0.8519</v>
      </c>
      <c r="K144" s="14">
        <f t="shared" si="1"/>
        <v>0.638925</v>
      </c>
      <c r="L144" s="23"/>
      <c r="M144" s="14">
        <f t="shared" si="2"/>
        <v>0.64</v>
      </c>
      <c r="N144" s="14">
        <f t="shared" si="3"/>
        <v>0.7512618852</v>
      </c>
      <c r="O144" s="17"/>
      <c r="P144" s="18">
        <f>IFERROR(__xludf.DUMMYFUNCTION("GOOGLEFINANCE(""CURRENCY:USDEUR"")"),0.8519)</f>
        <v>0.8519</v>
      </c>
      <c r="Q144" s="17"/>
    </row>
    <row r="145" ht="15.75" customHeight="1">
      <c r="A145" s="12" t="s">
        <v>579</v>
      </c>
      <c r="B145" s="12" t="s">
        <v>579</v>
      </c>
      <c r="C145" s="12" t="s">
        <v>580</v>
      </c>
      <c r="D145" s="12" t="s">
        <v>581</v>
      </c>
      <c r="E145" s="13">
        <v>0.2</v>
      </c>
      <c r="F145" s="12" t="s">
        <v>66</v>
      </c>
      <c r="G145" s="14">
        <f>Dashboard!$B$3</f>
        <v>1</v>
      </c>
      <c r="H145" s="14">
        <f>MAX(Dashboard!$B$4,G145*E145)</f>
        <v>0.49</v>
      </c>
      <c r="I145" s="14">
        <v>1.0</v>
      </c>
      <c r="J145" s="15">
        <f>IFERROR(__xludf.DUMMYFUNCTION("GOOGLEFINANCE(""CURRENCY:USDLKR"")"),323.0376)</f>
        <v>323.0376</v>
      </c>
      <c r="K145" s="14">
        <f t="shared" si="1"/>
        <v>158.288424</v>
      </c>
      <c r="L145" s="23"/>
      <c r="M145" s="14">
        <f t="shared" si="2"/>
        <v>158.29</v>
      </c>
      <c r="N145" s="14">
        <f t="shared" si="3"/>
        <v>0.4900048787</v>
      </c>
      <c r="O145" s="17"/>
      <c r="P145" s="18">
        <f>IFERROR(__xludf.DUMMYFUNCTION("GOOGLEFINANCE(""CURRENCY:USDLKR"")"),323.0376)</f>
        <v>323.0376</v>
      </c>
      <c r="Q145" s="17"/>
    </row>
    <row r="146" ht="15.75" customHeight="1">
      <c r="A146" s="12" t="s">
        <v>582</v>
      </c>
      <c r="B146" s="12" t="s">
        <v>583</v>
      </c>
      <c r="C146" s="12" t="s">
        <v>584</v>
      </c>
      <c r="D146" s="12" t="s">
        <v>585</v>
      </c>
      <c r="E146" s="13">
        <v>0.35</v>
      </c>
      <c r="F146" s="12" t="s">
        <v>57</v>
      </c>
      <c r="G146" s="14">
        <f>Dashboard!$B$3</f>
        <v>1</v>
      </c>
      <c r="H146" s="14">
        <f>MAX(Dashboard!$B$4,G146*E146)</f>
        <v>0.49</v>
      </c>
      <c r="I146" s="14">
        <v>1.0</v>
      </c>
      <c r="J146" s="15">
        <f>IFERROR(__xludf.DUMMYFUNCTION("GOOGLEFINANCE(""CURRENCY:USDSRD"")"),37.2545)</f>
        <v>37.2545</v>
      </c>
      <c r="K146" s="14">
        <f t="shared" si="1"/>
        <v>18.254705</v>
      </c>
      <c r="L146" s="23"/>
      <c r="M146" s="14">
        <f t="shared" si="2"/>
        <v>18.25</v>
      </c>
      <c r="N146" s="14">
        <f t="shared" si="3"/>
        <v>0.4898737065</v>
      </c>
      <c r="O146" s="17"/>
      <c r="P146" s="18">
        <f>IFERROR(__xludf.DUMMYFUNCTION("GOOGLEFINANCE(""CURRENCY:USDSRD"")"),37.2545)</f>
        <v>37.2545</v>
      </c>
      <c r="Q146" s="17"/>
    </row>
    <row r="147" ht="15.75" customHeight="1">
      <c r="A147" s="12" t="s">
        <v>586</v>
      </c>
      <c r="B147" s="24" t="s">
        <v>587</v>
      </c>
      <c r="C147" s="12" t="s">
        <v>588</v>
      </c>
      <c r="D147" s="12" t="s">
        <v>589</v>
      </c>
      <c r="E147" s="13">
        <v>0.87</v>
      </c>
      <c r="F147" s="12" t="s">
        <v>22</v>
      </c>
      <c r="G147" s="14">
        <f>Dashboard!$B$3</f>
        <v>1</v>
      </c>
      <c r="H147" s="14">
        <f>MAX(Dashboard!$B$4,G147*E147)</f>
        <v>0.87</v>
      </c>
      <c r="I147" s="14">
        <v>1.0</v>
      </c>
      <c r="J147" s="15">
        <f>IFERROR(__xludf.DUMMYFUNCTION("GOOGLEFINANCE(""CURRENCY:USDSEK"")"),9.293355)</f>
        <v>9.293355</v>
      </c>
      <c r="K147" s="14">
        <f t="shared" si="1"/>
        <v>8.08521885</v>
      </c>
      <c r="L147" s="23"/>
      <c r="M147" s="14">
        <f t="shared" si="2"/>
        <v>8.09</v>
      </c>
      <c r="N147" s="14">
        <f t="shared" si="3"/>
        <v>0.8705144697</v>
      </c>
      <c r="O147" s="17"/>
      <c r="P147" s="18">
        <f>IFERROR(__xludf.DUMMYFUNCTION("GOOGLEFINANCE(""CURRENCY:USDSEK"")"),9.293355)</f>
        <v>9.293355</v>
      </c>
      <c r="Q147" s="17"/>
    </row>
    <row r="148" ht="15.75" customHeight="1">
      <c r="A148" s="12" t="s">
        <v>590</v>
      </c>
      <c r="B148" s="24" t="s">
        <v>591</v>
      </c>
      <c r="C148" s="12" t="s">
        <v>592</v>
      </c>
      <c r="D148" s="12" t="s">
        <v>593</v>
      </c>
      <c r="E148" s="13">
        <v>1.0</v>
      </c>
      <c r="F148" s="12" t="s">
        <v>22</v>
      </c>
      <c r="G148" s="14">
        <f>Dashboard!$B$3</f>
        <v>1</v>
      </c>
      <c r="H148" s="14">
        <f>MAX(Dashboard!$B$4,G148*E148)</f>
        <v>1</v>
      </c>
      <c r="I148" s="14">
        <v>1.0</v>
      </c>
      <c r="J148" s="15">
        <f>IFERROR(__xludf.DUMMYFUNCTION("GOOGLEFINANCE(""CURRENCY:USDCHF"")"),0.78042)</f>
        <v>0.78042</v>
      </c>
      <c r="K148" s="14">
        <f t="shared" si="1"/>
        <v>0.78042</v>
      </c>
      <c r="L148" s="23"/>
      <c r="M148" s="14">
        <f t="shared" si="2"/>
        <v>0.78</v>
      </c>
      <c r="N148" s="14">
        <f t="shared" si="3"/>
        <v>0.9994618282</v>
      </c>
      <c r="O148" s="17"/>
      <c r="P148" s="18">
        <f>IFERROR(__xludf.DUMMYFUNCTION("GOOGLEFINANCE(""CURRENCY:USDCHF"")"),0.78042)</f>
        <v>0.78042</v>
      </c>
      <c r="Q148" s="17"/>
    </row>
    <row r="149" ht="15.75" customHeight="1">
      <c r="A149" s="12" t="s">
        <v>594</v>
      </c>
      <c r="B149" s="24" t="s">
        <v>595</v>
      </c>
      <c r="C149" s="12" t="s">
        <v>596</v>
      </c>
      <c r="D149" s="12" t="s">
        <v>597</v>
      </c>
      <c r="E149" s="13">
        <v>0.8</v>
      </c>
      <c r="F149" s="12" t="s">
        <v>26</v>
      </c>
      <c r="G149" s="14">
        <f>Dashboard!$B$3</f>
        <v>1</v>
      </c>
      <c r="H149" s="14">
        <f>MAX(Dashboard!$B$4,G149*E149)</f>
        <v>0.8</v>
      </c>
      <c r="I149" s="14">
        <v>1.0</v>
      </c>
      <c r="J149" s="15">
        <f>IFERROR(__xludf.DUMMYFUNCTION("GOOGLEFINANCE(""CURRENCY:USDTWD"")"),31.573000000000004)</f>
        <v>31.573</v>
      </c>
      <c r="K149" s="14">
        <f t="shared" si="1"/>
        <v>25.2584</v>
      </c>
      <c r="L149" s="23"/>
      <c r="M149" s="14">
        <f t="shared" si="2"/>
        <v>25.26</v>
      </c>
      <c r="N149" s="14">
        <f t="shared" si="3"/>
        <v>0.8000506762</v>
      </c>
      <c r="O149" s="17"/>
      <c r="P149" s="18">
        <f>IFERROR(__xludf.DUMMYFUNCTION("GOOGLEFINANCE(""CURRENCY:USDTWD"")"),31.573000000000004)</f>
        <v>31.573</v>
      </c>
      <c r="Q149" s="17"/>
    </row>
    <row r="150" ht="15.75" customHeight="1">
      <c r="A150" s="12" t="s">
        <v>598</v>
      </c>
      <c r="B150" s="24" t="s">
        <v>599</v>
      </c>
      <c r="C150" s="12" t="s">
        <v>600</v>
      </c>
      <c r="D150" s="12" t="s">
        <v>601</v>
      </c>
      <c r="E150" s="13">
        <v>0.2</v>
      </c>
      <c r="F150" s="12" t="s">
        <v>66</v>
      </c>
      <c r="G150" s="14">
        <f>Dashboard!$B$3</f>
        <v>1</v>
      </c>
      <c r="H150" s="14">
        <f>MAX(Dashboard!$B$4,G150*E150)</f>
        <v>0.49</v>
      </c>
      <c r="I150" s="14">
        <v>1.0</v>
      </c>
      <c r="J150" s="15">
        <f>IFERROR(__xludf.DUMMYFUNCTION("GOOGLEFINANCE(""CURRENCY:USDTJS"")"),9.351073999999999)</f>
        <v>9.351074</v>
      </c>
      <c r="K150" s="14">
        <f t="shared" si="1"/>
        <v>4.58202626</v>
      </c>
      <c r="L150" s="23"/>
      <c r="M150" s="14">
        <f t="shared" si="2"/>
        <v>4.58</v>
      </c>
      <c r="N150" s="14">
        <f t="shared" si="3"/>
        <v>0.4897833126</v>
      </c>
      <c r="O150" s="17"/>
      <c r="P150" s="18">
        <f>IFERROR(__xludf.DUMMYFUNCTION("GOOGLEFINANCE(""CURRENCY:USDTJS"")"),9.351073999999999)</f>
        <v>9.351074</v>
      </c>
      <c r="Q150" s="17"/>
    </row>
    <row r="151" ht="15.75" customHeight="1">
      <c r="A151" s="12" t="s">
        <v>602</v>
      </c>
      <c r="B151" s="12" t="s">
        <v>603</v>
      </c>
      <c r="C151" s="12" t="s">
        <v>604</v>
      </c>
      <c r="D151" s="12" t="s">
        <v>605</v>
      </c>
      <c r="E151" s="13">
        <v>0.2</v>
      </c>
      <c r="F151" s="12" t="s">
        <v>66</v>
      </c>
      <c r="G151" s="14">
        <f>Dashboard!$B$3</f>
        <v>1</v>
      </c>
      <c r="H151" s="14">
        <f>MAX(Dashboard!$B$4,G151*E151)</f>
        <v>0.49</v>
      </c>
      <c r="I151" s="14">
        <v>1.0</v>
      </c>
      <c r="J151" s="15">
        <f>IFERROR(__xludf.DUMMYFUNCTION("GOOGLEFINANCE(""CURRENCY:USDTZS"")"),2600.15)</f>
        <v>2600.15</v>
      </c>
      <c r="K151" s="14">
        <f t="shared" si="1"/>
        <v>1274.0735</v>
      </c>
      <c r="L151" s="23"/>
      <c r="M151" s="14">
        <f t="shared" si="2"/>
        <v>1274.07</v>
      </c>
      <c r="N151" s="14">
        <f t="shared" si="3"/>
        <v>0.4899986539</v>
      </c>
      <c r="O151" s="17"/>
      <c r="P151" s="18">
        <f>IFERROR(__xludf.DUMMYFUNCTION("GOOGLEFINANCE(""CURRENCY:USDTZS"")"),2600.15)</f>
        <v>2600.15</v>
      </c>
      <c r="Q151" s="17"/>
    </row>
    <row r="152" ht="15.75" customHeight="1">
      <c r="A152" s="12" t="s">
        <v>606</v>
      </c>
      <c r="B152" s="17" t="s">
        <v>607</v>
      </c>
      <c r="C152" s="12" t="s">
        <v>608</v>
      </c>
      <c r="D152" s="17" t="s">
        <v>609</v>
      </c>
      <c r="E152" s="19">
        <v>0.32</v>
      </c>
      <c r="F152" s="17" t="str">
        <f>IF(E152&gt;=0.8,"A",IF(E152&gt;=0.6,"B",IF(E152&gt;=0.4,"C",IF(E152&gt;=0.2,"D","E"))))</f>
        <v>D</v>
      </c>
      <c r="G152" s="14">
        <f>Dashboard!$B$3</f>
        <v>1</v>
      </c>
      <c r="H152" s="14">
        <f>MAX(Dashboard!$B$4,G152*E152)</f>
        <v>0.49</v>
      </c>
      <c r="I152" s="25">
        <v>0.85</v>
      </c>
      <c r="J152" s="20">
        <f>IFERROR(__xludf.DUMMYFUNCTION("GOOGLEFINANCE(""CURRENCY:USDTHB"")"),32.370000000000005)</f>
        <v>32.37</v>
      </c>
      <c r="K152" s="14">
        <f t="shared" si="1"/>
        <v>13.482105</v>
      </c>
      <c r="L152" s="21" t="s">
        <v>67</v>
      </c>
      <c r="M152" s="14">
        <f t="shared" si="2"/>
        <v>13</v>
      </c>
      <c r="N152" s="14">
        <f t="shared" si="3"/>
        <v>0.4016064257</v>
      </c>
      <c r="O152" s="17" t="str">
        <f>IF(N152&lt;Dashboard!$B$4,"Below global min",IF(AND(E152&gt;=0.8,N152&lt;Dashboard!$B$5),"Raise high-PPP floor","OK"))</f>
        <v>Below global min</v>
      </c>
      <c r="P152" s="22">
        <f>IFERROR(__xludf.DUMMYFUNCTION("GOOGLEFINANCE(""CURRENCY:USDTHB"")"),32.370000000000005)</f>
        <v>32.37</v>
      </c>
      <c r="Q152" s="17"/>
    </row>
    <row r="153" ht="15.75" customHeight="1">
      <c r="A153" s="12" t="s">
        <v>610</v>
      </c>
      <c r="B153" s="12" t="s">
        <v>610</v>
      </c>
      <c r="C153" s="12" t="s">
        <v>611</v>
      </c>
      <c r="D153" s="12" t="s">
        <v>121</v>
      </c>
      <c r="E153" s="13">
        <v>0.18</v>
      </c>
      <c r="F153" s="12" t="s">
        <v>66</v>
      </c>
      <c r="G153" s="14">
        <f>Dashboard!$B$3</f>
        <v>1</v>
      </c>
      <c r="H153" s="14">
        <f>MAX(Dashboard!$B$4,G153*E153)</f>
        <v>0.49</v>
      </c>
      <c r="I153" s="14">
        <v>1.0</v>
      </c>
      <c r="J153" s="15">
        <f>IFERROR(__xludf.DUMMYFUNCTION("GOOGLEFINANCE(""CURRENCY:USDXOF"")"),558.7654)</f>
        <v>558.7654</v>
      </c>
      <c r="K153" s="14">
        <f t="shared" si="1"/>
        <v>273.795046</v>
      </c>
      <c r="L153" s="23"/>
      <c r="M153" s="14">
        <f t="shared" si="2"/>
        <v>273.8</v>
      </c>
      <c r="N153" s="14">
        <f t="shared" si="3"/>
        <v>0.490008866</v>
      </c>
      <c r="O153" s="17"/>
      <c r="P153" s="18">
        <f>IFERROR(__xludf.DUMMYFUNCTION("GOOGLEFINANCE(""CURRENCY:USDXOF"")"),558.7654)</f>
        <v>558.7654</v>
      </c>
      <c r="Q153" s="17"/>
    </row>
    <row r="154" ht="15.75" customHeight="1">
      <c r="A154" s="12" t="s">
        <v>612</v>
      </c>
      <c r="B154" s="12" t="s">
        <v>612</v>
      </c>
      <c r="C154" s="12" t="s">
        <v>613</v>
      </c>
      <c r="D154" s="12" t="s">
        <v>614</v>
      </c>
      <c r="E154" s="13">
        <v>0.3</v>
      </c>
      <c r="F154" s="12" t="s">
        <v>57</v>
      </c>
      <c r="G154" s="14">
        <f>Dashboard!$B$3</f>
        <v>1</v>
      </c>
      <c r="H154" s="14">
        <f>MAX(Dashboard!$B$4,G154*E154)</f>
        <v>0.49</v>
      </c>
      <c r="I154" s="14">
        <v>1.0</v>
      </c>
      <c r="J154" s="15" t="str">
        <f>IFERROR(__xludf.DUMMYFUNCTION("GOOGLEFINANCE(""CURRENCY:USDTOP"")"),"#N/A")</f>
        <v>#N/A</v>
      </c>
      <c r="K154" s="14" t="str">
        <f t="shared" si="1"/>
        <v>#N/A</v>
      </c>
      <c r="L154" s="23"/>
      <c r="M154" s="14" t="str">
        <f t="shared" si="2"/>
        <v>#N/A</v>
      </c>
      <c r="N154" s="14" t="str">
        <f t="shared" si="3"/>
        <v>#N/A</v>
      </c>
      <c r="O154" s="17"/>
      <c r="P154" s="18" t="str">
        <f>IFERROR(__xludf.DUMMYFUNCTION("GOOGLEFINANCE(""CURRENCY:USDTOP"")"),"#N/A")</f>
        <v>#N/A</v>
      </c>
      <c r="Q154" s="17"/>
    </row>
    <row r="155" ht="15.75" customHeight="1">
      <c r="A155" s="12" t="s">
        <v>615</v>
      </c>
      <c r="B155" s="24" t="s">
        <v>616</v>
      </c>
      <c r="C155" s="12" t="s">
        <v>617</v>
      </c>
      <c r="D155" s="12" t="s">
        <v>618</v>
      </c>
      <c r="E155" s="13">
        <v>0.55</v>
      </c>
      <c r="F155" s="12" t="s">
        <v>30</v>
      </c>
      <c r="G155" s="14">
        <f>Dashboard!$B$3</f>
        <v>1</v>
      </c>
      <c r="H155" s="14">
        <f>MAX(Dashboard!$B$4,G155*E155)</f>
        <v>0.55</v>
      </c>
      <c r="I155" s="14">
        <v>1.0</v>
      </c>
      <c r="J155" s="15">
        <f>IFERROR(__xludf.DUMMYFUNCTION("GOOGLEFINANCE(""CURRENCY:USDTTD"")"),6.787342)</f>
        <v>6.787342</v>
      </c>
      <c r="K155" s="14">
        <f t="shared" si="1"/>
        <v>3.7330381</v>
      </c>
      <c r="L155" s="23"/>
      <c r="M155" s="14">
        <f t="shared" si="2"/>
        <v>3.73</v>
      </c>
      <c r="N155" s="14">
        <f t="shared" si="3"/>
        <v>0.5495523874</v>
      </c>
      <c r="O155" s="17"/>
      <c r="P155" s="18">
        <f>IFERROR(__xludf.DUMMYFUNCTION("GOOGLEFINANCE(""CURRENCY:USDTTD"")"),6.787342)</f>
        <v>6.787342</v>
      </c>
      <c r="Q155" s="17"/>
    </row>
    <row r="156" ht="15.75" customHeight="1">
      <c r="A156" s="12" t="s">
        <v>619</v>
      </c>
      <c r="B156" s="24" t="s">
        <v>620</v>
      </c>
      <c r="C156" s="12" t="s">
        <v>621</v>
      </c>
      <c r="D156" s="12" t="s">
        <v>622</v>
      </c>
      <c r="E156" s="13">
        <v>0.3</v>
      </c>
      <c r="F156" s="12" t="s">
        <v>57</v>
      </c>
      <c r="G156" s="14">
        <f>Dashboard!$B$3</f>
        <v>1</v>
      </c>
      <c r="H156" s="14">
        <f>MAX(Dashboard!$B$4,G156*E156)</f>
        <v>0.49</v>
      </c>
      <c r="I156" s="14">
        <v>1.0</v>
      </c>
      <c r="J156" s="15">
        <f>IFERROR(__xludf.DUMMYFUNCTION("GOOGLEFINANCE(""CURRENCY:USDTND"")"),2.908594)</f>
        <v>2.908594</v>
      </c>
      <c r="K156" s="14">
        <f t="shared" si="1"/>
        <v>1.42521106</v>
      </c>
      <c r="L156" s="23"/>
      <c r="M156" s="14">
        <f t="shared" si="2"/>
        <v>1.43</v>
      </c>
      <c r="N156" s="14">
        <f t="shared" si="3"/>
        <v>0.4916464794</v>
      </c>
      <c r="O156" s="17"/>
      <c r="P156" s="18">
        <f>IFERROR(__xludf.DUMMYFUNCTION("GOOGLEFINANCE(""CURRENCY:USDTND"")"),2.908594)</f>
        <v>2.908594</v>
      </c>
      <c r="Q156" s="17"/>
    </row>
    <row r="157" ht="15.75" customHeight="1">
      <c r="A157" s="12" t="s">
        <v>623</v>
      </c>
      <c r="B157" s="17" t="s">
        <v>623</v>
      </c>
      <c r="C157" s="12" t="s">
        <v>624</v>
      </c>
      <c r="D157" s="17" t="s">
        <v>625</v>
      </c>
      <c r="E157" s="19">
        <v>0.4</v>
      </c>
      <c r="F157" s="17" t="str">
        <f>IF(E157&gt;=0.8,"A",IF(E157&gt;=0.6,"B",IF(E157&gt;=0.4,"C",IF(E157&gt;=0.2,"D","E"))))</f>
        <v>C</v>
      </c>
      <c r="G157" s="14">
        <f>Dashboard!$B$3</f>
        <v>1</v>
      </c>
      <c r="H157" s="14">
        <f>MAX(Dashboard!$B$4,G157*E157)</f>
        <v>0.49</v>
      </c>
      <c r="I157" s="25">
        <v>0.9</v>
      </c>
      <c r="J157" s="20">
        <f>IFERROR(__xludf.DUMMYFUNCTION("GOOGLEFINANCE(""CURRENCY:USDTRY"")"),45.405100000000004)</f>
        <v>45.4051</v>
      </c>
      <c r="K157" s="14">
        <f t="shared" si="1"/>
        <v>20.0236491</v>
      </c>
      <c r="L157" s="21" t="s">
        <v>58</v>
      </c>
      <c r="M157" s="14">
        <f t="shared" si="2"/>
        <v>19</v>
      </c>
      <c r="N157" s="14">
        <f t="shared" si="3"/>
        <v>0.4184551956</v>
      </c>
      <c r="O157" s="17" t="str">
        <f>IF(N157&lt;Dashboard!$B$4,"Below global min",IF(AND(E157&gt;=0.8,N157&lt;Dashboard!$B$5),"Raise high-PPP floor","OK"))</f>
        <v>Below global min</v>
      </c>
      <c r="P157" s="22">
        <f>IFERROR(__xludf.DUMMYFUNCTION("GOOGLEFINANCE(""CURRENCY:USDTRY"")"),45.405100000000004)</f>
        <v>45.4051</v>
      </c>
      <c r="Q157" s="17" t="s">
        <v>626</v>
      </c>
    </row>
    <row r="158" ht="15.75" customHeight="1">
      <c r="A158" s="12" t="s">
        <v>627</v>
      </c>
      <c r="B158" s="24" t="s">
        <v>628</v>
      </c>
      <c r="C158" s="12" t="s">
        <v>629</v>
      </c>
      <c r="D158" s="12" t="s">
        <v>630</v>
      </c>
      <c r="E158" s="13">
        <v>0.3</v>
      </c>
      <c r="F158" s="12" t="s">
        <v>57</v>
      </c>
      <c r="G158" s="14">
        <f>Dashboard!$B$3</f>
        <v>1</v>
      </c>
      <c r="H158" s="14">
        <f>MAX(Dashboard!$B$4,G158*E158)</f>
        <v>0.49</v>
      </c>
      <c r="I158" s="14">
        <v>1.0</v>
      </c>
      <c r="J158" s="15">
        <f>IFERROR(__xludf.DUMMYFUNCTION("GOOGLEFINANCE(""CURRENCY:USDTMT"")"),3.5)</f>
        <v>3.5</v>
      </c>
      <c r="K158" s="14">
        <f t="shared" si="1"/>
        <v>1.715</v>
      </c>
      <c r="L158" s="23"/>
      <c r="M158" s="14">
        <f t="shared" si="2"/>
        <v>1.72</v>
      </c>
      <c r="N158" s="14">
        <f t="shared" si="3"/>
        <v>0.4914285714</v>
      </c>
      <c r="O158" s="17"/>
      <c r="P158" s="18">
        <f>IFERROR(__xludf.DUMMYFUNCTION("GOOGLEFINANCE(""CURRENCY:USDTMT"")"),3.5)</f>
        <v>3.5</v>
      </c>
      <c r="Q158" s="17"/>
    </row>
    <row r="159" ht="15.75" customHeight="1">
      <c r="A159" s="12" t="s">
        <v>631</v>
      </c>
      <c r="B159" s="24" t="s">
        <v>632</v>
      </c>
      <c r="C159" s="12" t="s">
        <v>633</v>
      </c>
      <c r="D159" s="12" t="s">
        <v>226</v>
      </c>
      <c r="E159" s="13">
        <v>0.8</v>
      </c>
      <c r="F159" s="12" t="s">
        <v>26</v>
      </c>
      <c r="G159" s="14">
        <f>Dashboard!$B$3</f>
        <v>1</v>
      </c>
      <c r="H159" s="14">
        <f>MAX(Dashboard!$B$4,G159*E159)</f>
        <v>0.8</v>
      </c>
      <c r="I159" s="14">
        <v>1.0</v>
      </c>
      <c r="J159" s="26">
        <v>1.0</v>
      </c>
      <c r="K159" s="14">
        <f t="shared" si="1"/>
        <v>0.8</v>
      </c>
      <c r="L159" s="23"/>
      <c r="M159" s="14">
        <f t="shared" si="2"/>
        <v>0.8</v>
      </c>
      <c r="N159" s="14">
        <f t="shared" si="3"/>
        <v>0.8</v>
      </c>
      <c r="O159" s="17"/>
      <c r="P159" s="26">
        <v>1.0</v>
      </c>
      <c r="Q159" s="17"/>
    </row>
    <row r="160" ht="15.75" customHeight="1">
      <c r="A160" s="12" t="s">
        <v>634</v>
      </c>
      <c r="B160" s="12" t="s">
        <v>634</v>
      </c>
      <c r="C160" s="12" t="s">
        <v>635</v>
      </c>
      <c r="D160" s="12" t="s">
        <v>636</v>
      </c>
      <c r="E160" s="13">
        <v>0.18</v>
      </c>
      <c r="F160" s="12" t="s">
        <v>66</v>
      </c>
      <c r="G160" s="14">
        <f>Dashboard!$B$3</f>
        <v>1</v>
      </c>
      <c r="H160" s="14">
        <f>MAX(Dashboard!$B$4,G160*E160)</f>
        <v>0.49</v>
      </c>
      <c r="I160" s="14">
        <v>1.0</v>
      </c>
      <c r="J160" s="15">
        <f>IFERROR(__xludf.DUMMYFUNCTION("GOOGLEFINANCE(""CURRENCY:USDUGX"")"),3759.152)</f>
        <v>3759.152</v>
      </c>
      <c r="K160" s="14">
        <f t="shared" si="1"/>
        <v>1841.98448</v>
      </c>
      <c r="L160" s="23"/>
      <c r="M160" s="14">
        <f t="shared" si="2"/>
        <v>1841.98</v>
      </c>
      <c r="N160" s="14">
        <f t="shared" si="3"/>
        <v>0.4899988082</v>
      </c>
      <c r="O160" s="17"/>
      <c r="P160" s="18">
        <f>IFERROR(__xludf.DUMMYFUNCTION("GOOGLEFINANCE(""CURRENCY:USDUGX"")"),3759.152)</f>
        <v>3759.152</v>
      </c>
      <c r="Q160" s="17"/>
    </row>
    <row r="161" ht="15.75" customHeight="1">
      <c r="A161" s="12" t="s">
        <v>637</v>
      </c>
      <c r="B161" s="24" t="s">
        <v>638</v>
      </c>
      <c r="C161" s="12" t="s">
        <v>639</v>
      </c>
      <c r="D161" s="12" t="s">
        <v>640</v>
      </c>
      <c r="E161" s="13">
        <v>0.35</v>
      </c>
      <c r="F161" s="12" t="s">
        <v>57</v>
      </c>
      <c r="G161" s="14">
        <f>Dashboard!$B$3</f>
        <v>1</v>
      </c>
      <c r="H161" s="14">
        <f>MAX(Dashboard!$B$4,G161*E161)</f>
        <v>0.49</v>
      </c>
      <c r="I161" s="14">
        <v>1.0</v>
      </c>
      <c r="J161" s="15">
        <f>IFERROR(__xludf.DUMMYFUNCTION("GOOGLEFINANCE(""CURRENCY:USDUAH"")"),43.956680000000006)</f>
        <v>43.95668</v>
      </c>
      <c r="K161" s="14">
        <f t="shared" si="1"/>
        <v>21.5387732</v>
      </c>
      <c r="L161" s="23"/>
      <c r="M161" s="14">
        <f t="shared" si="2"/>
        <v>21.54</v>
      </c>
      <c r="N161" s="14">
        <f t="shared" si="3"/>
        <v>0.4900279093</v>
      </c>
      <c r="O161" s="17"/>
      <c r="P161" s="18">
        <f>IFERROR(__xludf.DUMMYFUNCTION("GOOGLEFINANCE(""CURRENCY:USDUAH"")"),43.956680000000006)</f>
        <v>43.95668</v>
      </c>
      <c r="Q161" s="17"/>
    </row>
    <row r="162" ht="15.75" customHeight="1">
      <c r="A162" s="12" t="s">
        <v>641</v>
      </c>
      <c r="B162" s="12" t="s">
        <v>642</v>
      </c>
      <c r="C162" s="12" t="s">
        <v>643</v>
      </c>
      <c r="D162" s="12" t="s">
        <v>644</v>
      </c>
      <c r="E162" s="13">
        <v>0.85</v>
      </c>
      <c r="F162" s="12" t="s">
        <v>22</v>
      </c>
      <c r="G162" s="14">
        <f>Dashboard!$B$3</f>
        <v>1</v>
      </c>
      <c r="H162" s="14">
        <f>MAX(Dashboard!$B$4,G162*E162)</f>
        <v>0.85</v>
      </c>
      <c r="I162" s="14">
        <v>1.0</v>
      </c>
      <c r="J162" s="15">
        <f>IFERROR(__xludf.DUMMYFUNCTION("GOOGLEFINANCE(""CURRENCY:USDAED"")"),3.6725)</f>
        <v>3.6725</v>
      </c>
      <c r="K162" s="14">
        <f t="shared" si="1"/>
        <v>3.121625</v>
      </c>
      <c r="L162" s="23"/>
      <c r="M162" s="14">
        <f t="shared" si="2"/>
        <v>3.12</v>
      </c>
      <c r="N162" s="14">
        <f t="shared" si="3"/>
        <v>0.8495575221</v>
      </c>
      <c r="O162" s="17"/>
      <c r="P162" s="18">
        <f>IFERROR(__xludf.DUMMYFUNCTION("GOOGLEFINANCE(""CURRENCY:USDAED"")"),3.6725)</f>
        <v>3.6725</v>
      </c>
      <c r="Q162" s="17"/>
    </row>
    <row r="163" ht="15.75" customHeight="1">
      <c r="A163" s="12" t="s">
        <v>645</v>
      </c>
      <c r="B163" s="17" t="s">
        <v>646</v>
      </c>
      <c r="C163" s="12" t="s">
        <v>647</v>
      </c>
      <c r="D163" s="17" t="s">
        <v>648</v>
      </c>
      <c r="E163" s="19">
        <v>0.83</v>
      </c>
      <c r="F163" s="17" t="str">
        <f t="shared" ref="F163:F164" si="5">IF(E163&gt;=0.8,"A",IF(E163&gt;=0.6,"B",IF(E163&gt;=0.4,"C",IF(E163&gt;=0.2,"D","E"))))</f>
        <v>A</v>
      </c>
      <c r="G163" s="14">
        <f>Dashboard!$B$3</f>
        <v>1</v>
      </c>
      <c r="H163" s="14">
        <f>MAX(Dashboard!$B$4,G163*E163)</f>
        <v>0.83</v>
      </c>
      <c r="I163" s="14">
        <v>1.0</v>
      </c>
      <c r="J163" s="20">
        <f>IFERROR(__xludf.DUMMYFUNCTION("GOOGLEFINANCE(""CURRENCY:USDGBP"")"),0.738545)</f>
        <v>0.738545</v>
      </c>
      <c r="K163" s="14">
        <f t="shared" si="1"/>
        <v>0.61299235</v>
      </c>
      <c r="L163" s="21" t="s">
        <v>649</v>
      </c>
      <c r="M163" s="14">
        <f t="shared" si="2"/>
        <v>0.99</v>
      </c>
      <c r="N163" s="14">
        <f t="shared" si="3"/>
        <v>1.340473499</v>
      </c>
      <c r="O163" s="17" t="str">
        <f>IF(N163&lt;Dashboard!$B$4,"Below global min",IF(AND(E163&gt;=0.8,N163&lt;Dashboard!$B$5),"Raise high-PPP floor","OK"))</f>
        <v>Raise high-PPP floor</v>
      </c>
      <c r="P163" s="22">
        <f>IFERROR(__xludf.DUMMYFUNCTION("GOOGLEFINANCE(""CURRENCY:USDGBP"")"),0.738545)</f>
        <v>0.738545</v>
      </c>
      <c r="Q163" s="17"/>
    </row>
    <row r="164" ht="15.75" customHeight="1">
      <c r="A164" s="12" t="s">
        <v>650</v>
      </c>
      <c r="B164" s="17" t="s">
        <v>651</v>
      </c>
      <c r="C164" s="12" t="s">
        <v>652</v>
      </c>
      <c r="D164" s="17" t="s">
        <v>226</v>
      </c>
      <c r="E164" s="19">
        <v>1.0</v>
      </c>
      <c r="F164" s="17" t="str">
        <f t="shared" si="5"/>
        <v>A</v>
      </c>
      <c r="G164" s="14">
        <f>Dashboard!$B$3</f>
        <v>1</v>
      </c>
      <c r="H164" s="14">
        <f>MAX(Dashboard!$B$4,G164*E164)</f>
        <v>1</v>
      </c>
      <c r="I164" s="14">
        <v>1.0</v>
      </c>
      <c r="J164" s="27">
        <v>1.0</v>
      </c>
      <c r="K164" s="14">
        <f t="shared" si="1"/>
        <v>1</v>
      </c>
      <c r="L164" s="21" t="s">
        <v>72</v>
      </c>
      <c r="M164" s="14">
        <f t="shared" si="2"/>
        <v>0.99</v>
      </c>
      <c r="N164" s="14">
        <f t="shared" si="3"/>
        <v>0.99</v>
      </c>
      <c r="O164" s="17" t="str">
        <f>IF(N164&lt;Dashboard!$B$4,"Below global min",IF(AND(E164&gt;=0.8,N164&lt;Dashboard!$B$5),"Raise high-PPP floor","OK"))</f>
        <v>Raise high-PPP floor</v>
      </c>
      <c r="P164" s="27">
        <v>1.0</v>
      </c>
      <c r="Q164" s="17" t="s">
        <v>653</v>
      </c>
    </row>
    <row r="165" ht="15.75" customHeight="1">
      <c r="A165" s="12" t="s">
        <v>654</v>
      </c>
      <c r="B165" s="12" t="s">
        <v>654</v>
      </c>
      <c r="C165" s="12" t="s">
        <v>655</v>
      </c>
      <c r="D165" s="12" t="s">
        <v>656</v>
      </c>
      <c r="E165" s="13">
        <v>0.65</v>
      </c>
      <c r="F165" s="12" t="s">
        <v>26</v>
      </c>
      <c r="G165" s="14">
        <f>Dashboard!$B$3</f>
        <v>1</v>
      </c>
      <c r="H165" s="14">
        <f>MAX(Dashboard!$B$4,G165*E165)</f>
        <v>0.65</v>
      </c>
      <c r="I165" s="14">
        <v>1.0</v>
      </c>
      <c r="J165" s="15">
        <f>IFERROR(__xludf.DUMMYFUNCTION("GOOGLEFINANCE(""CURRENCY:USDUYU"")"),39.772220000000004)</f>
        <v>39.77222</v>
      </c>
      <c r="K165" s="14">
        <f t="shared" si="1"/>
        <v>25.851943</v>
      </c>
      <c r="L165" s="23"/>
      <c r="M165" s="14">
        <f t="shared" si="2"/>
        <v>25.85</v>
      </c>
      <c r="N165" s="14">
        <f t="shared" si="3"/>
        <v>0.6499511468</v>
      </c>
      <c r="O165" s="17"/>
      <c r="P165" s="18">
        <f>IFERROR(__xludf.DUMMYFUNCTION("GOOGLEFINANCE(""CURRENCY:USDUYU"")"),39.772220000000004)</f>
        <v>39.77222</v>
      </c>
      <c r="Q165" s="17"/>
    </row>
    <row r="166" ht="15.75" customHeight="1">
      <c r="A166" s="12" t="s">
        <v>657</v>
      </c>
      <c r="B166" s="24" t="s">
        <v>658</v>
      </c>
      <c r="C166" s="12" t="s">
        <v>659</v>
      </c>
      <c r="D166" s="12" t="s">
        <v>660</v>
      </c>
      <c r="E166" s="13">
        <v>0.25</v>
      </c>
      <c r="F166" s="12" t="s">
        <v>57</v>
      </c>
      <c r="G166" s="14">
        <f>Dashboard!$B$3</f>
        <v>1</v>
      </c>
      <c r="H166" s="14">
        <f>MAX(Dashboard!$B$4,G166*E166)</f>
        <v>0.49</v>
      </c>
      <c r="I166" s="14">
        <v>1.0</v>
      </c>
      <c r="J166" s="15">
        <f>IFERROR(__xludf.DUMMYFUNCTION("GOOGLEFINANCE(""CURRENCY:USDUZS"")"),12132.65)</f>
        <v>12132.65</v>
      </c>
      <c r="K166" s="14">
        <f t="shared" si="1"/>
        <v>5944.9985</v>
      </c>
      <c r="L166" s="23"/>
      <c r="M166" s="14">
        <f t="shared" si="2"/>
        <v>5945</v>
      </c>
      <c r="N166" s="14">
        <f t="shared" si="3"/>
        <v>0.4900001236</v>
      </c>
      <c r="O166" s="17"/>
      <c r="P166" s="18">
        <f>IFERROR(__xludf.DUMMYFUNCTION("GOOGLEFINANCE(""CURRENCY:USDUZS"")"),12132.65)</f>
        <v>12132.65</v>
      </c>
      <c r="Q166" s="17"/>
    </row>
    <row r="167" ht="15.75" customHeight="1">
      <c r="A167" s="12" t="s">
        <v>661</v>
      </c>
      <c r="B167" s="24" t="s">
        <v>662</v>
      </c>
      <c r="C167" s="12" t="s">
        <v>663</v>
      </c>
      <c r="D167" s="12" t="s">
        <v>664</v>
      </c>
      <c r="E167" s="13">
        <v>0.25</v>
      </c>
      <c r="F167" s="12" t="s">
        <v>57</v>
      </c>
      <c r="G167" s="14">
        <f>Dashboard!$B$3</f>
        <v>1</v>
      </c>
      <c r="H167" s="14">
        <f>MAX(Dashboard!$B$4,G167*E167)</f>
        <v>0.49</v>
      </c>
      <c r="I167" s="14">
        <v>1.0</v>
      </c>
      <c r="J167" s="15" t="str">
        <f>IFERROR(__xludf.DUMMYFUNCTION("GOOGLEFINANCE(""CURRENCY:USDVUV"")"),"#N/A")</f>
        <v>#N/A</v>
      </c>
      <c r="K167" s="14" t="str">
        <f t="shared" si="1"/>
        <v>#N/A</v>
      </c>
      <c r="L167" s="23"/>
      <c r="M167" s="14" t="str">
        <f t="shared" si="2"/>
        <v>#N/A</v>
      </c>
      <c r="N167" s="14" t="str">
        <f t="shared" si="3"/>
        <v>#N/A</v>
      </c>
      <c r="O167" s="17"/>
      <c r="P167" s="18" t="str">
        <f>IFERROR(__xludf.DUMMYFUNCTION("GOOGLEFINANCE(""CURRENCY:USDVUV"")"),"#N/A")</f>
        <v>#N/A</v>
      </c>
      <c r="Q167" s="17"/>
    </row>
    <row r="168" ht="15.75" customHeight="1">
      <c r="A168" s="12" t="s">
        <v>665</v>
      </c>
      <c r="B168" s="12" t="s">
        <v>666</v>
      </c>
      <c r="C168" s="12" t="s">
        <v>667</v>
      </c>
      <c r="D168" s="12" t="s">
        <v>93</v>
      </c>
      <c r="E168" s="13">
        <v>1.0</v>
      </c>
      <c r="F168" s="12" t="s">
        <v>22</v>
      </c>
      <c r="G168" s="14">
        <f>Dashboard!$B$3</f>
        <v>1</v>
      </c>
      <c r="H168" s="14">
        <f>MAX(Dashboard!$B$4,G168*E168)</f>
        <v>1</v>
      </c>
      <c r="I168" s="14">
        <v>1.0</v>
      </c>
      <c r="J168" s="15">
        <f>IFERROR(__xludf.DUMMYFUNCTION("GOOGLEFINANCE(""CURRENCY:USDEUR"")"),0.8519)</f>
        <v>0.8519</v>
      </c>
      <c r="K168" s="14">
        <f t="shared" si="1"/>
        <v>0.8519</v>
      </c>
      <c r="L168" s="23"/>
      <c r="M168" s="14">
        <f t="shared" si="2"/>
        <v>0.85</v>
      </c>
      <c r="N168" s="14">
        <f t="shared" si="3"/>
        <v>0.9977696913</v>
      </c>
      <c r="O168" s="17"/>
      <c r="P168" s="18">
        <f>IFERROR(__xludf.DUMMYFUNCTION("GOOGLEFINANCE(""CURRENCY:USDEUR"")"),0.8519)</f>
        <v>0.8519</v>
      </c>
      <c r="Q168" s="17"/>
    </row>
    <row r="169" ht="15.75" customHeight="1">
      <c r="A169" s="12" t="s">
        <v>668</v>
      </c>
      <c r="B169" s="24" t="s">
        <v>669</v>
      </c>
      <c r="C169" s="12" t="s">
        <v>670</v>
      </c>
      <c r="D169" s="12" t="s">
        <v>671</v>
      </c>
      <c r="E169" s="13">
        <v>0.25</v>
      </c>
      <c r="F169" s="12" t="s">
        <v>66</v>
      </c>
      <c r="G169" s="14">
        <f>Dashboard!$B$3</f>
        <v>1</v>
      </c>
      <c r="H169" s="14">
        <f>MAX(Dashboard!$B$4,G169*E169)</f>
        <v>0.49</v>
      </c>
      <c r="I169" s="14">
        <v>1.0</v>
      </c>
      <c r="J169" s="15">
        <f>IFERROR(__xludf.DUMMYFUNCTION("GOOGLEFINANCE(""CURRENCY:USDVES"")"),504.28360000000004)</f>
        <v>504.2836</v>
      </c>
      <c r="K169" s="14">
        <f t="shared" si="1"/>
        <v>247.098964</v>
      </c>
      <c r="L169" s="23"/>
      <c r="M169" s="14">
        <f t="shared" si="2"/>
        <v>247.1</v>
      </c>
      <c r="N169" s="14">
        <f t="shared" si="3"/>
        <v>0.4900020544</v>
      </c>
      <c r="O169" s="17"/>
      <c r="P169" s="18">
        <f>IFERROR(__xludf.DUMMYFUNCTION("GOOGLEFINANCE(""CURRENCY:USDVES"")"),504.28360000000004)</f>
        <v>504.2836</v>
      </c>
      <c r="Q169" s="17"/>
    </row>
    <row r="170" ht="15.75" customHeight="1">
      <c r="A170" s="12" t="s">
        <v>672</v>
      </c>
      <c r="B170" s="17" t="s">
        <v>672</v>
      </c>
      <c r="C170" s="12" t="s">
        <v>673</v>
      </c>
      <c r="D170" s="17" t="s">
        <v>674</v>
      </c>
      <c r="E170" s="19">
        <v>0.18</v>
      </c>
      <c r="F170" s="17" t="str">
        <f>IF(E170&gt;=0.8,"A",IF(E170&gt;=0.6,"B",IF(E170&gt;=0.4,"C",IF(E170&gt;=0.2,"D","E"))))</f>
        <v>E</v>
      </c>
      <c r="G170" s="14">
        <f>Dashboard!$B$3</f>
        <v>1</v>
      </c>
      <c r="H170" s="14">
        <f>MAX(Dashboard!$B$4,G170*E170)</f>
        <v>0.49</v>
      </c>
      <c r="I170" s="25">
        <v>0.75</v>
      </c>
      <c r="J170" s="20">
        <f>IFERROR(__xludf.DUMMYFUNCTION("GOOGLEFINANCE(""CURRENCY:USDVND"")"),26338.940000000002)</f>
        <v>26338.94</v>
      </c>
      <c r="K170" s="14">
        <f t="shared" si="1"/>
        <v>9679.56045</v>
      </c>
      <c r="L170" s="21" t="s">
        <v>675</v>
      </c>
      <c r="M170" s="14">
        <f t="shared" si="2"/>
        <v>10000</v>
      </c>
      <c r="N170" s="14">
        <f t="shared" si="3"/>
        <v>0.3796660002</v>
      </c>
      <c r="O170" s="17" t="str">
        <f>IF(N170&lt;Dashboard!$B$4,"Below global min",IF(AND(E170&gt;=0.8,N170&lt;Dashboard!$B$5),"Raise high-PPP floor","OK"))</f>
        <v>Below global min</v>
      </c>
      <c r="P170" s="22">
        <f>IFERROR(__xludf.DUMMYFUNCTION("GOOGLEFINANCE(""CURRENCY:USDVND"")"),26338.940000000002)</f>
        <v>26338.94</v>
      </c>
      <c r="Q170" s="17"/>
    </row>
    <row r="171" ht="15.75" customHeight="1">
      <c r="A171" s="12" t="s">
        <v>676</v>
      </c>
      <c r="B171" s="24" t="s">
        <v>677</v>
      </c>
      <c r="C171" s="12" t="s">
        <v>678</v>
      </c>
      <c r="D171" s="12" t="s">
        <v>226</v>
      </c>
      <c r="E171" s="13">
        <v>0.85</v>
      </c>
      <c r="F171" s="12" t="s">
        <v>22</v>
      </c>
      <c r="G171" s="14">
        <f>Dashboard!$B$3</f>
        <v>1</v>
      </c>
      <c r="H171" s="28">
        <f>MAX(Dashboard!$B$4,G171*E171)</f>
        <v>0.85</v>
      </c>
      <c r="I171" s="14">
        <v>1.0</v>
      </c>
      <c r="J171" s="26">
        <v>1.0</v>
      </c>
      <c r="K171" s="14">
        <f t="shared" si="1"/>
        <v>0.85</v>
      </c>
      <c r="L171" s="29"/>
      <c r="M171" s="14">
        <f t="shared" si="2"/>
        <v>0.85</v>
      </c>
      <c r="N171" s="14">
        <f t="shared" si="3"/>
        <v>0.85</v>
      </c>
      <c r="P171" s="26">
        <v>1.0</v>
      </c>
    </row>
    <row r="172" ht="15.75" customHeight="1">
      <c r="A172" s="12" t="s">
        <v>679</v>
      </c>
      <c r="B172" s="12" t="s">
        <v>679</v>
      </c>
      <c r="C172" s="12" t="s">
        <v>680</v>
      </c>
      <c r="D172" s="12" t="s">
        <v>681</v>
      </c>
      <c r="E172" s="13">
        <v>0.15</v>
      </c>
      <c r="F172" s="12" t="s">
        <v>66</v>
      </c>
      <c r="G172" s="14">
        <f>Dashboard!$B$3</f>
        <v>1</v>
      </c>
      <c r="H172" s="28">
        <f>MAX(Dashboard!$B$4,G172*E172)</f>
        <v>0.49</v>
      </c>
      <c r="I172" s="14">
        <v>1.0</v>
      </c>
      <c r="J172" s="15">
        <f>IFERROR(__xludf.DUMMYFUNCTION("GOOGLEFINANCE(""CURRENCY:USDYER"")"),238.65)</f>
        <v>238.65</v>
      </c>
      <c r="K172" s="14">
        <f t="shared" si="1"/>
        <v>116.9385</v>
      </c>
      <c r="L172" s="29"/>
      <c r="M172" s="14">
        <f t="shared" si="2"/>
        <v>116.94</v>
      </c>
      <c r="N172" s="14">
        <f t="shared" si="3"/>
        <v>0.4900062854</v>
      </c>
      <c r="P172" s="18">
        <f>IFERROR(__xludf.DUMMYFUNCTION("GOOGLEFINANCE(""CURRENCY:USDYER"")"),238.65)</f>
        <v>238.65</v>
      </c>
    </row>
    <row r="173" ht="15.75" customHeight="1">
      <c r="A173" s="12" t="s">
        <v>682</v>
      </c>
      <c r="B173" s="24" t="s">
        <v>683</v>
      </c>
      <c r="C173" s="12" t="s">
        <v>684</v>
      </c>
      <c r="D173" s="12" t="s">
        <v>685</v>
      </c>
      <c r="E173" s="13">
        <v>0.2</v>
      </c>
      <c r="F173" s="12" t="s">
        <v>66</v>
      </c>
      <c r="G173" s="14">
        <f>Dashboard!$B$3</f>
        <v>1</v>
      </c>
      <c r="H173" s="28">
        <f>MAX(Dashboard!$B$4,G173*E173)</f>
        <v>0.49</v>
      </c>
      <c r="I173" s="14">
        <v>1.0</v>
      </c>
      <c r="J173" s="15">
        <f>IFERROR(__xludf.DUMMYFUNCTION("GOOGLEFINANCE(""CURRENCY:USDZMW"")"),18.8272)</f>
        <v>18.8272</v>
      </c>
      <c r="K173" s="14">
        <f t="shared" si="1"/>
        <v>9.225328</v>
      </c>
      <c r="L173" s="29"/>
      <c r="M173" s="14">
        <f t="shared" si="2"/>
        <v>9.23</v>
      </c>
      <c r="N173" s="14">
        <f t="shared" si="3"/>
        <v>0.4902481516</v>
      </c>
      <c r="P173" s="18">
        <f>IFERROR(__xludf.DUMMYFUNCTION("GOOGLEFINANCE(""CURRENCY:USDZMW"")"),18.8272)</f>
        <v>18.8272</v>
      </c>
    </row>
    <row r="174" ht="15.75" customHeight="1">
      <c r="A174" s="12" t="s">
        <v>686</v>
      </c>
      <c r="B174" s="24" t="s">
        <v>687</v>
      </c>
      <c r="C174" s="12" t="s">
        <v>688</v>
      </c>
      <c r="D174" s="12" t="s">
        <v>689</v>
      </c>
      <c r="E174" s="13">
        <v>0.18</v>
      </c>
      <c r="F174" s="12" t="s">
        <v>66</v>
      </c>
      <c r="G174" s="14">
        <f>Dashboard!$B$3</f>
        <v>1</v>
      </c>
      <c r="H174" s="28">
        <f>MAX(Dashboard!$B$4,G174*E174)</f>
        <v>0.49</v>
      </c>
      <c r="I174" s="14">
        <v>1.0</v>
      </c>
      <c r="J174" s="15" t="str">
        <f>IFERROR(__xludf.DUMMYFUNCTION("GOOGLEFINANCE(""CURRENCY:USDZIG"")"),"#N/A")</f>
        <v>#N/A</v>
      </c>
      <c r="K174" s="14" t="str">
        <f t="shared" si="1"/>
        <v>#N/A</v>
      </c>
      <c r="L174" s="29"/>
      <c r="M174" s="14" t="str">
        <f t="shared" si="2"/>
        <v>#N/A</v>
      </c>
      <c r="N174" s="14" t="str">
        <f t="shared" si="3"/>
        <v>#N/A</v>
      </c>
      <c r="P174" s="18" t="str">
        <f>IFERROR(__xludf.DUMMYFUNCTION("GOOGLEFINANCE(""CURRENCY:USDZIG"")"),"#N/A")</f>
        <v>#N/A</v>
      </c>
    </row>
    <row r="175" ht="15.75" customHeight="1">
      <c r="I175" s="30"/>
      <c r="J175" s="30"/>
      <c r="L175" s="31"/>
    </row>
    <row r="176" ht="15.75" customHeight="1">
      <c r="I176" s="30"/>
      <c r="J176" s="30"/>
      <c r="L176" s="31"/>
    </row>
    <row r="177" ht="15.75" customHeight="1">
      <c r="I177" s="30"/>
      <c r="J177" s="30"/>
      <c r="L177" s="31"/>
    </row>
    <row r="178" ht="15.75" customHeight="1">
      <c r="I178" s="30"/>
      <c r="J178" s="30"/>
      <c r="L178" s="31"/>
    </row>
    <row r="179" ht="15.75" customHeight="1">
      <c r="I179" s="30"/>
      <c r="J179" s="30"/>
      <c r="L179" s="31"/>
    </row>
    <row r="180" ht="15.75" customHeight="1">
      <c r="I180" s="30"/>
      <c r="J180" s="30"/>
      <c r="L180" s="31"/>
    </row>
    <row r="181" ht="15.75" customHeight="1">
      <c r="I181" s="30"/>
      <c r="J181" s="30"/>
      <c r="L181" s="31"/>
    </row>
    <row r="182" ht="15.75" customHeight="1">
      <c r="I182" s="30"/>
      <c r="J182" s="30"/>
      <c r="L182" s="31"/>
    </row>
    <row r="183" ht="15.75" customHeight="1">
      <c r="I183" s="30"/>
      <c r="J183" s="30"/>
      <c r="L183" s="31"/>
    </row>
    <row r="184" ht="15.75" customHeight="1">
      <c r="I184" s="30"/>
      <c r="J184" s="30"/>
      <c r="L184" s="31"/>
    </row>
    <row r="185" ht="15.75" customHeight="1">
      <c r="I185" s="30"/>
      <c r="J185" s="30"/>
      <c r="L185" s="31"/>
    </row>
    <row r="186" ht="15.75" customHeight="1">
      <c r="I186" s="30"/>
      <c r="J186" s="30"/>
      <c r="L186" s="31"/>
    </row>
    <row r="187" ht="15.75" customHeight="1">
      <c r="I187" s="30"/>
      <c r="J187" s="30"/>
      <c r="L187" s="31"/>
    </row>
    <row r="188" ht="15.75" customHeight="1">
      <c r="I188" s="30"/>
      <c r="J188" s="30"/>
      <c r="L188" s="31"/>
    </row>
    <row r="189" ht="15.75" customHeight="1">
      <c r="I189" s="30"/>
      <c r="J189" s="30"/>
      <c r="L189" s="31"/>
    </row>
    <row r="190" ht="15.75" customHeight="1">
      <c r="I190" s="30"/>
      <c r="J190" s="30"/>
      <c r="L190" s="31"/>
    </row>
    <row r="191" ht="15.75" customHeight="1">
      <c r="I191" s="30"/>
      <c r="J191" s="30"/>
      <c r="L191" s="31"/>
    </row>
    <row r="192" ht="15.75" customHeight="1">
      <c r="I192" s="30"/>
      <c r="J192" s="30"/>
      <c r="L192" s="31"/>
    </row>
    <row r="193" ht="15.75" customHeight="1">
      <c r="I193" s="30"/>
      <c r="J193" s="30"/>
      <c r="L193" s="31"/>
    </row>
    <row r="194" ht="15.75" customHeight="1">
      <c r="I194" s="30"/>
      <c r="J194" s="30"/>
      <c r="L194" s="31"/>
    </row>
    <row r="195" ht="15.75" customHeight="1">
      <c r="I195" s="30"/>
      <c r="J195" s="30"/>
      <c r="L195" s="31"/>
    </row>
    <row r="196" ht="15.75" customHeight="1">
      <c r="I196" s="30"/>
      <c r="J196" s="30"/>
      <c r="L196" s="31"/>
    </row>
    <row r="197" ht="15.75" customHeight="1">
      <c r="I197" s="30"/>
      <c r="J197" s="30"/>
      <c r="L197" s="31"/>
    </row>
    <row r="198" ht="15.75" customHeight="1">
      <c r="I198" s="30"/>
      <c r="J198" s="30"/>
      <c r="L198" s="31"/>
    </row>
    <row r="199" ht="15.75" customHeight="1">
      <c r="I199" s="30"/>
      <c r="J199" s="30"/>
      <c r="L199" s="31"/>
    </row>
    <row r="200" ht="15.75" customHeight="1">
      <c r="I200" s="30"/>
      <c r="J200" s="30"/>
      <c r="L200" s="31"/>
    </row>
    <row r="201" ht="15.75" customHeight="1">
      <c r="I201" s="30"/>
      <c r="J201" s="30"/>
      <c r="L201" s="31"/>
    </row>
    <row r="202" ht="15.75" customHeight="1">
      <c r="I202" s="30"/>
      <c r="J202" s="30"/>
      <c r="L202" s="31"/>
    </row>
    <row r="203" ht="15.75" customHeight="1">
      <c r="I203" s="30"/>
      <c r="J203" s="30"/>
      <c r="L203" s="31"/>
    </row>
    <row r="204" ht="15.75" customHeight="1">
      <c r="I204" s="30"/>
      <c r="J204" s="30"/>
      <c r="L204" s="31"/>
    </row>
    <row r="205" ht="15.75" customHeight="1">
      <c r="I205" s="30"/>
      <c r="J205" s="30"/>
      <c r="L205" s="31"/>
    </row>
    <row r="206" ht="15.75" customHeight="1">
      <c r="I206" s="30"/>
      <c r="J206" s="30"/>
      <c r="L206" s="31"/>
    </row>
    <row r="207" ht="15.75" customHeight="1">
      <c r="I207" s="30"/>
      <c r="J207" s="30"/>
      <c r="L207" s="31"/>
    </row>
    <row r="208" ht="15.75" customHeight="1">
      <c r="I208" s="30"/>
      <c r="J208" s="30"/>
      <c r="L208" s="31"/>
    </row>
    <row r="209" ht="15.75" customHeight="1">
      <c r="I209" s="30"/>
      <c r="J209" s="30"/>
      <c r="L209" s="31"/>
    </row>
    <row r="210" ht="15.75" customHeight="1">
      <c r="I210" s="30"/>
      <c r="J210" s="30"/>
      <c r="L210" s="31"/>
    </row>
    <row r="211" ht="15.75" customHeight="1">
      <c r="I211" s="30"/>
      <c r="J211" s="30"/>
      <c r="L211" s="31"/>
    </row>
    <row r="212" ht="15.75" customHeight="1">
      <c r="I212" s="30"/>
      <c r="J212" s="30"/>
      <c r="L212" s="31"/>
    </row>
    <row r="213" ht="15.75" customHeight="1">
      <c r="I213" s="30"/>
      <c r="J213" s="30"/>
      <c r="L213" s="31"/>
    </row>
    <row r="214" ht="15.75" customHeight="1">
      <c r="I214" s="30"/>
      <c r="J214" s="30"/>
      <c r="L214" s="31"/>
    </row>
    <row r="215" ht="15.75" customHeight="1">
      <c r="I215" s="30"/>
      <c r="J215" s="30"/>
      <c r="L215" s="31"/>
    </row>
    <row r="216" ht="15.75" customHeight="1">
      <c r="I216" s="30"/>
      <c r="J216" s="30"/>
      <c r="L216" s="31"/>
    </row>
    <row r="217" ht="15.75" customHeight="1">
      <c r="I217" s="30"/>
      <c r="J217" s="30"/>
      <c r="L217" s="31"/>
    </row>
    <row r="218" ht="15.75" customHeight="1">
      <c r="I218" s="30"/>
      <c r="J218" s="30"/>
      <c r="L218" s="31"/>
    </row>
    <row r="219" ht="15.75" customHeight="1">
      <c r="I219" s="30"/>
      <c r="J219" s="30"/>
      <c r="L219" s="31"/>
    </row>
    <row r="220" ht="15.75" customHeight="1">
      <c r="I220" s="30"/>
      <c r="J220" s="30"/>
      <c r="L220" s="31"/>
    </row>
    <row r="221" ht="15.75" customHeight="1">
      <c r="I221" s="30"/>
      <c r="J221" s="30"/>
      <c r="L221" s="31"/>
    </row>
    <row r="222" ht="15.75" customHeight="1">
      <c r="I222" s="30"/>
      <c r="J222" s="30"/>
      <c r="L222" s="31"/>
    </row>
    <row r="223" ht="15.75" customHeight="1">
      <c r="I223" s="30"/>
      <c r="J223" s="30"/>
      <c r="L223" s="31"/>
    </row>
    <row r="224" ht="15.75" customHeight="1">
      <c r="I224" s="30"/>
      <c r="J224" s="30"/>
      <c r="L224" s="31"/>
    </row>
    <row r="225" ht="15.75" customHeight="1">
      <c r="I225" s="30"/>
      <c r="J225" s="30"/>
      <c r="L225" s="31"/>
    </row>
    <row r="226" ht="15.75" customHeight="1">
      <c r="I226" s="30"/>
      <c r="J226" s="30"/>
      <c r="L226" s="31"/>
    </row>
    <row r="227" ht="15.75" customHeight="1">
      <c r="I227" s="30"/>
      <c r="J227" s="30"/>
      <c r="L227" s="31"/>
    </row>
    <row r="228" ht="15.75" customHeight="1">
      <c r="I228" s="30"/>
      <c r="J228" s="30"/>
      <c r="L228" s="31"/>
    </row>
    <row r="229" ht="15.75" customHeight="1">
      <c r="I229" s="30"/>
      <c r="J229" s="30"/>
      <c r="L229" s="31"/>
    </row>
    <row r="230" ht="15.75" customHeight="1">
      <c r="I230" s="30"/>
      <c r="J230" s="30"/>
      <c r="L230" s="31"/>
    </row>
    <row r="231" ht="15.75" customHeight="1">
      <c r="I231" s="30"/>
      <c r="J231" s="30"/>
      <c r="L231" s="31"/>
    </row>
    <row r="232" ht="15.75" customHeight="1">
      <c r="I232" s="30"/>
      <c r="J232" s="30"/>
      <c r="L232" s="31"/>
    </row>
    <row r="233" ht="15.75" customHeight="1">
      <c r="I233" s="30"/>
      <c r="J233" s="30"/>
      <c r="L233" s="31"/>
    </row>
    <row r="234" ht="15.75" customHeight="1">
      <c r="I234" s="30"/>
      <c r="J234" s="30"/>
      <c r="L234" s="31"/>
    </row>
    <row r="235" ht="15.75" customHeight="1">
      <c r="I235" s="30"/>
      <c r="J235" s="30"/>
      <c r="L235" s="31"/>
    </row>
    <row r="236" ht="15.75" customHeight="1">
      <c r="I236" s="30"/>
      <c r="J236" s="30"/>
      <c r="L236" s="31"/>
    </row>
    <row r="237" ht="15.75" customHeight="1">
      <c r="I237" s="30"/>
      <c r="J237" s="30"/>
      <c r="L237" s="31"/>
    </row>
    <row r="238" ht="15.75" customHeight="1">
      <c r="I238" s="30"/>
      <c r="J238" s="30"/>
      <c r="L238" s="31"/>
    </row>
    <row r="239" ht="15.75" customHeight="1">
      <c r="I239" s="30"/>
      <c r="J239" s="30"/>
      <c r="L239" s="31"/>
    </row>
    <row r="240" ht="15.75" customHeight="1">
      <c r="I240" s="30"/>
      <c r="J240" s="30"/>
      <c r="L240" s="31"/>
    </row>
    <row r="241" ht="15.75" customHeight="1">
      <c r="I241" s="30"/>
      <c r="J241" s="30"/>
      <c r="L241" s="31"/>
    </row>
    <row r="242" ht="15.75" customHeight="1">
      <c r="I242" s="30"/>
      <c r="J242" s="30"/>
      <c r="L242" s="31"/>
    </row>
    <row r="243" ht="15.75" customHeight="1">
      <c r="I243" s="30"/>
      <c r="J243" s="30"/>
      <c r="L243" s="31"/>
    </row>
    <row r="244" ht="15.75" customHeight="1">
      <c r="I244" s="30"/>
      <c r="J244" s="30"/>
      <c r="L244" s="31"/>
    </row>
    <row r="245" ht="15.75" customHeight="1">
      <c r="I245" s="30"/>
      <c r="J245" s="30"/>
      <c r="L245" s="31"/>
    </row>
    <row r="246" ht="15.75" customHeight="1">
      <c r="I246" s="30"/>
      <c r="J246" s="30"/>
      <c r="L246" s="31"/>
    </row>
    <row r="247" ht="15.75" customHeight="1">
      <c r="I247" s="30"/>
      <c r="J247" s="30"/>
      <c r="L247" s="31"/>
    </row>
    <row r="248" ht="15.75" customHeight="1">
      <c r="I248" s="30"/>
      <c r="J248" s="30"/>
      <c r="L248" s="31"/>
    </row>
    <row r="249" ht="15.75" customHeight="1">
      <c r="I249" s="30"/>
      <c r="J249" s="30"/>
      <c r="L249" s="31"/>
    </row>
    <row r="250" ht="15.75" customHeight="1">
      <c r="I250" s="30"/>
      <c r="J250" s="30"/>
      <c r="L250" s="31"/>
    </row>
    <row r="251" ht="15.75" customHeight="1">
      <c r="I251" s="30"/>
      <c r="J251" s="30"/>
      <c r="L251" s="31"/>
    </row>
    <row r="252" ht="15.75" customHeight="1">
      <c r="I252" s="30"/>
      <c r="J252" s="30"/>
      <c r="L252" s="31"/>
    </row>
    <row r="253" ht="15.75" customHeight="1">
      <c r="I253" s="30"/>
      <c r="J253" s="30"/>
      <c r="L253" s="31"/>
    </row>
    <row r="254" ht="15.75" customHeight="1">
      <c r="I254" s="30"/>
      <c r="J254" s="30"/>
      <c r="L254" s="31"/>
    </row>
    <row r="255" ht="15.75" customHeight="1">
      <c r="I255" s="30"/>
      <c r="J255" s="30"/>
    </row>
    <row r="256" ht="15.75" customHeight="1">
      <c r="I256" s="30"/>
      <c r="J256" s="30"/>
    </row>
    <row r="257" ht="15.75" customHeight="1">
      <c r="I257" s="30"/>
      <c r="J257" s="30"/>
    </row>
    <row r="258" ht="15.75" customHeight="1">
      <c r="I258" s="30"/>
      <c r="J258" s="30"/>
    </row>
    <row r="259" ht="15.75" customHeight="1">
      <c r="I259" s="30"/>
      <c r="J259" s="30"/>
    </row>
    <row r="260" ht="15.75" customHeight="1">
      <c r="I260" s="30"/>
      <c r="J260" s="30"/>
    </row>
    <row r="261" ht="15.75" customHeight="1">
      <c r="I261" s="30"/>
      <c r="J261" s="30"/>
    </row>
    <row r="262" ht="15.75" customHeight="1">
      <c r="I262" s="30"/>
      <c r="J262" s="30"/>
    </row>
    <row r="263" ht="15.75" customHeight="1">
      <c r="I263" s="30"/>
      <c r="J263" s="30"/>
    </row>
    <row r="264" ht="15.75" customHeight="1">
      <c r="I264" s="30"/>
      <c r="J264" s="30"/>
    </row>
    <row r="265" ht="15.75" customHeight="1">
      <c r="I265" s="30"/>
      <c r="J265" s="30"/>
    </row>
    <row r="266" ht="15.75" customHeight="1">
      <c r="I266" s="30"/>
      <c r="J266" s="30"/>
    </row>
    <row r="267" ht="15.75" customHeight="1">
      <c r="I267" s="30"/>
      <c r="J267" s="30"/>
    </row>
    <row r="268" ht="15.75" customHeight="1">
      <c r="I268" s="30"/>
      <c r="J268" s="30"/>
    </row>
    <row r="269" ht="15.75" customHeight="1">
      <c r="I269" s="30"/>
      <c r="J269" s="30"/>
    </row>
    <row r="270" ht="15.75" customHeight="1">
      <c r="I270" s="30"/>
      <c r="J270" s="30"/>
    </row>
    <row r="271" ht="15.75" customHeight="1">
      <c r="I271" s="30"/>
      <c r="J271" s="30"/>
    </row>
    <row r="272" ht="15.75" customHeight="1">
      <c r="I272" s="30"/>
      <c r="J272" s="30"/>
    </row>
    <row r="273" ht="15.75" customHeight="1">
      <c r="I273" s="30"/>
      <c r="J273" s="30"/>
    </row>
    <row r="274" ht="15.75" customHeight="1">
      <c r="I274" s="30"/>
      <c r="J274" s="30"/>
    </row>
    <row r="275" ht="15.75" customHeight="1">
      <c r="I275" s="30"/>
      <c r="J275" s="30"/>
    </row>
    <row r="276" ht="15.75" customHeight="1">
      <c r="I276" s="30"/>
      <c r="J276" s="30"/>
    </row>
    <row r="277" ht="15.75" customHeight="1">
      <c r="I277" s="30"/>
      <c r="J277" s="30"/>
    </row>
    <row r="278" ht="15.75" customHeight="1">
      <c r="I278" s="30"/>
      <c r="J278" s="30"/>
    </row>
    <row r="279" ht="15.75" customHeight="1">
      <c r="I279" s="30"/>
      <c r="J279" s="30"/>
    </row>
    <row r="280" ht="15.75" customHeight="1">
      <c r="I280" s="30"/>
      <c r="J280" s="30"/>
    </row>
    <row r="281" ht="15.75" customHeight="1">
      <c r="I281" s="30"/>
      <c r="J281" s="30"/>
    </row>
    <row r="282" ht="15.75" customHeight="1">
      <c r="I282" s="30"/>
      <c r="J282" s="30"/>
    </row>
    <row r="283" ht="15.75" customHeight="1">
      <c r="I283" s="30"/>
      <c r="J283" s="30"/>
    </row>
    <row r="284" ht="15.75" customHeight="1">
      <c r="I284" s="30"/>
      <c r="J284" s="30"/>
    </row>
    <row r="285" ht="15.75" customHeight="1">
      <c r="I285" s="30"/>
      <c r="J285" s="30"/>
    </row>
    <row r="286" ht="15.75" customHeight="1">
      <c r="I286" s="30"/>
      <c r="J286" s="30"/>
    </row>
    <row r="287" ht="15.75" customHeight="1">
      <c r="I287" s="30"/>
      <c r="J287" s="30"/>
    </row>
    <row r="288" ht="15.75" customHeight="1">
      <c r="I288" s="30"/>
      <c r="J288" s="30"/>
    </row>
    <row r="289" ht="15.75" customHeight="1">
      <c r="I289" s="30"/>
      <c r="J289" s="30"/>
    </row>
    <row r="290" ht="15.75" customHeight="1">
      <c r="I290" s="30"/>
      <c r="J290" s="30"/>
    </row>
    <row r="291" ht="15.75" customHeight="1">
      <c r="I291" s="30"/>
      <c r="J291" s="30"/>
    </row>
    <row r="292" ht="15.75" customHeight="1">
      <c r="I292" s="30"/>
      <c r="J292" s="30"/>
    </row>
    <row r="293" ht="15.75" customHeight="1">
      <c r="I293" s="30"/>
      <c r="J293" s="30"/>
    </row>
    <row r="294" ht="15.75" customHeight="1">
      <c r="I294" s="30"/>
      <c r="J294" s="30"/>
    </row>
    <row r="295" ht="15.75" customHeight="1">
      <c r="I295" s="30"/>
      <c r="J295" s="30"/>
    </row>
    <row r="296" ht="15.75" customHeight="1">
      <c r="I296" s="30"/>
      <c r="J296" s="30"/>
    </row>
    <row r="297" ht="15.75" customHeight="1">
      <c r="I297" s="30"/>
      <c r="J297" s="30"/>
    </row>
    <row r="298" ht="15.75" customHeight="1">
      <c r="I298" s="30"/>
      <c r="J298" s="30"/>
    </row>
    <row r="299" ht="15.75" customHeight="1">
      <c r="I299" s="30"/>
      <c r="J299" s="30"/>
    </row>
    <row r="300" ht="15.75" customHeight="1">
      <c r="I300" s="30"/>
      <c r="J300" s="30"/>
    </row>
    <row r="301" ht="15.75" customHeight="1">
      <c r="I301" s="30"/>
      <c r="J301" s="30"/>
    </row>
    <row r="302" ht="15.75" customHeight="1">
      <c r="I302" s="30"/>
      <c r="J302" s="30"/>
    </row>
    <row r="303" ht="15.75" customHeight="1">
      <c r="I303" s="30"/>
      <c r="J303" s="30"/>
    </row>
    <row r="304" ht="15.75" customHeight="1">
      <c r="I304" s="30"/>
      <c r="J304" s="30"/>
    </row>
    <row r="305" ht="15.75" customHeight="1">
      <c r="I305" s="30"/>
      <c r="J305" s="30"/>
    </row>
    <row r="306" ht="15.75" customHeight="1">
      <c r="I306" s="30"/>
      <c r="J306" s="30"/>
    </row>
    <row r="307" ht="15.75" customHeight="1">
      <c r="I307" s="30"/>
      <c r="J307" s="30"/>
    </row>
    <row r="308" ht="15.75" customHeight="1">
      <c r="I308" s="30"/>
      <c r="J308" s="30"/>
    </row>
    <row r="309" ht="15.75" customHeight="1">
      <c r="I309" s="30"/>
      <c r="J309" s="30"/>
    </row>
    <row r="310" ht="15.75" customHeight="1">
      <c r="I310" s="30"/>
      <c r="J310" s="30"/>
    </row>
    <row r="311" ht="15.75" customHeight="1">
      <c r="I311" s="30"/>
      <c r="J311" s="30"/>
    </row>
    <row r="312" ht="15.75" customHeight="1">
      <c r="I312" s="30"/>
      <c r="J312" s="30"/>
    </row>
    <row r="313" ht="15.75" customHeight="1">
      <c r="I313" s="30"/>
      <c r="J313" s="30"/>
    </row>
    <row r="314" ht="15.75" customHeight="1">
      <c r="I314" s="30"/>
      <c r="J314" s="30"/>
    </row>
    <row r="315" ht="15.75" customHeight="1">
      <c r="I315" s="30"/>
      <c r="J315" s="30"/>
    </row>
    <row r="316" ht="15.75" customHeight="1">
      <c r="I316" s="30"/>
      <c r="J316" s="30"/>
    </row>
    <row r="317" ht="15.75" customHeight="1">
      <c r="I317" s="30"/>
      <c r="J317" s="30"/>
    </row>
    <row r="318" ht="15.75" customHeight="1">
      <c r="I318" s="30"/>
      <c r="J318" s="30"/>
    </row>
    <row r="319" ht="15.75" customHeight="1">
      <c r="I319" s="30"/>
      <c r="J319" s="30"/>
    </row>
    <row r="320" ht="15.75" customHeight="1">
      <c r="I320" s="30"/>
      <c r="J320" s="30"/>
    </row>
    <row r="321" ht="15.75" customHeight="1">
      <c r="I321" s="30"/>
      <c r="J321" s="30"/>
    </row>
    <row r="322" ht="15.75" customHeight="1">
      <c r="I322" s="30"/>
      <c r="J322" s="30"/>
    </row>
    <row r="323" ht="15.75" customHeight="1">
      <c r="I323" s="30"/>
      <c r="J323" s="30"/>
    </row>
    <row r="324" ht="15.75" customHeight="1">
      <c r="I324" s="30"/>
      <c r="J324" s="30"/>
    </row>
    <row r="325" ht="15.75" customHeight="1">
      <c r="I325" s="30"/>
      <c r="J325" s="30"/>
    </row>
    <row r="326" ht="15.75" customHeight="1">
      <c r="I326" s="30"/>
      <c r="J326" s="30"/>
    </row>
    <row r="327" ht="15.75" customHeight="1">
      <c r="I327" s="30"/>
      <c r="J327" s="30"/>
    </row>
    <row r="328" ht="15.75" customHeight="1">
      <c r="I328" s="30"/>
      <c r="J328" s="30"/>
    </row>
    <row r="329" ht="15.75" customHeight="1">
      <c r="I329" s="30"/>
      <c r="J329" s="30"/>
    </row>
    <row r="330" ht="15.75" customHeight="1">
      <c r="I330" s="30"/>
      <c r="J330" s="30"/>
    </row>
    <row r="331" ht="15.75" customHeight="1">
      <c r="I331" s="30"/>
      <c r="J331" s="30"/>
    </row>
    <row r="332" ht="15.75" customHeight="1">
      <c r="I332" s="30"/>
      <c r="J332" s="30"/>
    </row>
    <row r="333" ht="15.75" customHeight="1">
      <c r="I333" s="30"/>
      <c r="J333" s="30"/>
    </row>
    <row r="334" ht="15.75" customHeight="1">
      <c r="I334" s="30"/>
      <c r="J334" s="30"/>
    </row>
    <row r="335" ht="15.75" customHeight="1">
      <c r="I335" s="30"/>
      <c r="J335" s="30"/>
    </row>
    <row r="336" ht="15.75" customHeight="1">
      <c r="I336" s="30"/>
      <c r="J336" s="30"/>
    </row>
    <row r="337" ht="15.75" customHeight="1">
      <c r="I337" s="30"/>
      <c r="J337" s="30"/>
    </row>
    <row r="338" ht="15.75" customHeight="1">
      <c r="I338" s="30"/>
      <c r="J338" s="30"/>
    </row>
    <row r="339" ht="15.75" customHeight="1">
      <c r="I339" s="30"/>
      <c r="J339" s="30"/>
    </row>
    <row r="340" ht="15.75" customHeight="1">
      <c r="I340" s="30"/>
      <c r="J340" s="30"/>
    </row>
    <row r="341" ht="15.75" customHeight="1">
      <c r="I341" s="30"/>
      <c r="J341" s="30"/>
    </row>
    <row r="342" ht="15.75" customHeight="1">
      <c r="I342" s="30"/>
      <c r="J342" s="30"/>
    </row>
    <row r="343" ht="15.75" customHeight="1">
      <c r="I343" s="30"/>
      <c r="J343" s="30"/>
    </row>
    <row r="344" ht="15.75" customHeight="1">
      <c r="I344" s="30"/>
      <c r="J344" s="30"/>
    </row>
    <row r="345" ht="15.75" customHeight="1">
      <c r="I345" s="30"/>
      <c r="J345" s="30"/>
    </row>
    <row r="346" ht="15.75" customHeight="1">
      <c r="I346" s="30"/>
      <c r="J346" s="30"/>
    </row>
    <row r="347" ht="15.75" customHeight="1">
      <c r="I347" s="30"/>
      <c r="J347" s="30"/>
    </row>
    <row r="348" ht="15.75" customHeight="1">
      <c r="I348" s="30"/>
      <c r="J348" s="30"/>
    </row>
    <row r="349" ht="15.75" customHeight="1">
      <c r="I349" s="30"/>
      <c r="J349" s="30"/>
    </row>
    <row r="350" ht="15.75" customHeight="1">
      <c r="I350" s="30"/>
      <c r="J350" s="30"/>
    </row>
    <row r="351" ht="15.75" customHeight="1">
      <c r="I351" s="30"/>
      <c r="J351" s="30"/>
    </row>
    <row r="352" ht="15.75" customHeight="1">
      <c r="I352" s="30"/>
      <c r="J352" s="30"/>
    </row>
    <row r="353" ht="15.75" customHeight="1">
      <c r="I353" s="30"/>
      <c r="J353" s="30"/>
    </row>
    <row r="354" ht="15.75" customHeight="1">
      <c r="I354" s="30"/>
      <c r="J354" s="30"/>
    </row>
    <row r="355" ht="15.75" customHeight="1">
      <c r="I355" s="30"/>
      <c r="J355" s="30"/>
    </row>
    <row r="356" ht="15.75" customHeight="1">
      <c r="I356" s="30"/>
      <c r="J356" s="30"/>
    </row>
    <row r="357" ht="15.75" customHeight="1">
      <c r="I357" s="30"/>
      <c r="J357" s="30"/>
    </row>
    <row r="358" ht="15.75" customHeight="1">
      <c r="I358" s="30"/>
      <c r="J358" s="30"/>
    </row>
    <row r="359" ht="15.75" customHeight="1">
      <c r="I359" s="30"/>
      <c r="J359" s="30"/>
    </row>
    <row r="360" ht="15.75" customHeight="1">
      <c r="I360" s="30"/>
      <c r="J360" s="30"/>
    </row>
    <row r="361" ht="15.75" customHeight="1">
      <c r="I361" s="30"/>
      <c r="J361" s="30"/>
    </row>
    <row r="362" ht="15.75" customHeight="1">
      <c r="I362" s="30"/>
      <c r="J362" s="30"/>
    </row>
    <row r="363" ht="15.75" customHeight="1">
      <c r="I363" s="30"/>
      <c r="J363" s="30"/>
    </row>
    <row r="364" ht="15.75" customHeight="1">
      <c r="I364" s="30"/>
      <c r="J364" s="30"/>
    </row>
    <row r="365" ht="15.75" customHeight="1">
      <c r="I365" s="30"/>
      <c r="J365" s="30"/>
    </row>
    <row r="366" ht="15.75" customHeight="1">
      <c r="I366" s="30"/>
      <c r="J366" s="30"/>
    </row>
    <row r="367" ht="15.75" customHeight="1">
      <c r="I367" s="30"/>
      <c r="J367" s="30"/>
    </row>
    <row r="368" ht="15.75" customHeight="1">
      <c r="I368" s="30"/>
      <c r="J368" s="30"/>
    </row>
    <row r="369" ht="15.75" customHeight="1">
      <c r="I369" s="30"/>
      <c r="J369" s="30"/>
    </row>
    <row r="370" ht="15.75" customHeight="1">
      <c r="I370" s="30"/>
      <c r="J370" s="30"/>
    </row>
    <row r="371" ht="15.75" customHeight="1">
      <c r="I371" s="30"/>
      <c r="J371" s="30"/>
    </row>
    <row r="372" ht="15.75" customHeight="1">
      <c r="I372" s="30"/>
      <c r="J372" s="30"/>
    </row>
    <row r="373" ht="15.75" customHeight="1">
      <c r="I373" s="30"/>
      <c r="J373" s="30"/>
    </row>
    <row r="374" ht="15.75" customHeight="1">
      <c r="I374" s="30"/>
      <c r="J374" s="30"/>
    </row>
    <row r="375" ht="15.75" customHeight="1">
      <c r="I375" s="30"/>
      <c r="J375" s="30"/>
    </row>
    <row r="376" ht="15.75" customHeight="1">
      <c r="I376" s="30"/>
      <c r="J376" s="30"/>
    </row>
    <row r="377" ht="15.75" customHeight="1">
      <c r="I377" s="30"/>
      <c r="J377" s="30"/>
    </row>
    <row r="378" ht="15.75" customHeight="1">
      <c r="I378" s="30"/>
      <c r="J378" s="30"/>
    </row>
    <row r="379" ht="15.75" customHeight="1">
      <c r="I379" s="30"/>
      <c r="J379" s="30"/>
    </row>
    <row r="380" ht="15.75" customHeight="1">
      <c r="I380" s="30"/>
      <c r="J380" s="30"/>
    </row>
    <row r="381" ht="15.75" customHeight="1">
      <c r="I381" s="30"/>
      <c r="J381" s="30"/>
    </row>
    <row r="382" ht="15.75" customHeight="1">
      <c r="I382" s="30"/>
      <c r="J382" s="30"/>
    </row>
    <row r="383" ht="15.75" customHeight="1">
      <c r="I383" s="30"/>
      <c r="J383" s="30"/>
    </row>
    <row r="384" ht="15.75" customHeight="1">
      <c r="I384" s="30"/>
      <c r="J384" s="30"/>
    </row>
    <row r="385" ht="15.75" customHeight="1">
      <c r="I385" s="30"/>
      <c r="J385" s="30"/>
    </row>
    <row r="386" ht="15.75" customHeight="1">
      <c r="I386" s="30"/>
      <c r="J386" s="30"/>
    </row>
    <row r="387" ht="15.75" customHeight="1">
      <c r="I387" s="30"/>
      <c r="J387" s="30"/>
    </row>
    <row r="388" ht="15.75" customHeight="1">
      <c r="I388" s="30"/>
      <c r="J388" s="30"/>
    </row>
    <row r="389" ht="15.75" customHeight="1">
      <c r="I389" s="30"/>
      <c r="J389" s="30"/>
    </row>
    <row r="390" ht="15.75" customHeight="1">
      <c r="I390" s="30"/>
      <c r="J390" s="30"/>
    </row>
    <row r="391" ht="15.75" customHeight="1">
      <c r="I391" s="30"/>
      <c r="J391" s="30"/>
    </row>
    <row r="392" ht="15.75" customHeight="1">
      <c r="I392" s="30"/>
      <c r="J392" s="30"/>
    </row>
    <row r="393" ht="15.75" customHeight="1">
      <c r="I393" s="30"/>
      <c r="J393" s="30"/>
    </row>
    <row r="394" ht="15.75" customHeight="1">
      <c r="I394" s="30"/>
      <c r="J394" s="30"/>
    </row>
    <row r="395" ht="15.75" customHeight="1">
      <c r="I395" s="30"/>
      <c r="J395" s="30"/>
    </row>
    <row r="396" ht="15.75" customHeight="1">
      <c r="I396" s="30"/>
      <c r="J396" s="30"/>
    </row>
    <row r="397" ht="15.75" customHeight="1">
      <c r="I397" s="30"/>
      <c r="J397" s="30"/>
    </row>
    <row r="398" ht="15.75" customHeight="1">
      <c r="I398" s="30"/>
      <c r="J398" s="30"/>
    </row>
    <row r="399" ht="15.75" customHeight="1">
      <c r="I399" s="30"/>
      <c r="J399" s="30"/>
    </row>
    <row r="400" ht="15.75" customHeight="1">
      <c r="I400" s="30"/>
      <c r="J400" s="30"/>
    </row>
    <row r="401" ht="15.75" customHeight="1">
      <c r="I401" s="30"/>
      <c r="J401" s="30"/>
    </row>
    <row r="402" ht="15.75" customHeight="1">
      <c r="I402" s="30"/>
      <c r="J402" s="30"/>
    </row>
    <row r="403" ht="15.75" customHeight="1">
      <c r="I403" s="30"/>
      <c r="J403" s="30"/>
    </row>
    <row r="404" ht="15.75" customHeight="1">
      <c r="I404" s="30"/>
      <c r="J404" s="30"/>
    </row>
    <row r="405" ht="15.75" customHeight="1">
      <c r="I405" s="30"/>
      <c r="J405" s="30"/>
    </row>
    <row r="406" ht="15.75" customHeight="1">
      <c r="I406" s="30"/>
      <c r="J406" s="30"/>
    </row>
    <row r="407" ht="15.75" customHeight="1">
      <c r="I407" s="30"/>
      <c r="J407" s="30"/>
    </row>
    <row r="408" ht="15.75" customHeight="1">
      <c r="I408" s="30"/>
      <c r="J408" s="30"/>
    </row>
    <row r="409" ht="15.75" customHeight="1">
      <c r="I409" s="30"/>
      <c r="J409" s="30"/>
    </row>
    <row r="410" ht="15.75" customHeight="1">
      <c r="I410" s="30"/>
      <c r="J410" s="30"/>
    </row>
    <row r="411" ht="15.75" customHeight="1">
      <c r="I411" s="30"/>
      <c r="J411" s="30"/>
    </row>
    <row r="412" ht="15.75" customHeight="1">
      <c r="I412" s="30"/>
      <c r="J412" s="30"/>
    </row>
    <row r="413" ht="15.75" customHeight="1">
      <c r="I413" s="30"/>
      <c r="J413" s="30"/>
    </row>
    <row r="414" ht="15.75" customHeight="1">
      <c r="I414" s="30"/>
      <c r="J414" s="30"/>
    </row>
    <row r="415" ht="15.75" customHeight="1">
      <c r="I415" s="30"/>
      <c r="J415" s="30"/>
    </row>
    <row r="416" ht="15.75" customHeight="1">
      <c r="I416" s="30"/>
      <c r="J416" s="30"/>
    </row>
    <row r="417" ht="15.75" customHeight="1">
      <c r="I417" s="30"/>
      <c r="J417" s="30"/>
    </row>
    <row r="418" ht="15.75" customHeight="1">
      <c r="I418" s="30"/>
      <c r="J418" s="30"/>
    </row>
    <row r="419" ht="15.75" customHeight="1">
      <c r="I419" s="30"/>
      <c r="J419" s="30"/>
    </row>
    <row r="420" ht="15.75" customHeight="1">
      <c r="I420" s="30"/>
      <c r="J420" s="30"/>
    </row>
    <row r="421" ht="15.75" customHeight="1">
      <c r="I421" s="30"/>
      <c r="J421" s="30"/>
    </row>
    <row r="422" ht="15.75" customHeight="1">
      <c r="I422" s="30"/>
      <c r="J422" s="30"/>
    </row>
    <row r="423" ht="15.75" customHeight="1">
      <c r="I423" s="30"/>
      <c r="J423" s="30"/>
    </row>
    <row r="424" ht="15.75" customHeight="1">
      <c r="I424" s="30"/>
      <c r="J424" s="30"/>
    </row>
    <row r="425" ht="15.75" customHeight="1">
      <c r="I425" s="30"/>
      <c r="J425" s="30"/>
    </row>
    <row r="426" ht="15.75" customHeight="1">
      <c r="I426" s="30"/>
      <c r="J426" s="30"/>
    </row>
    <row r="427" ht="15.75" customHeight="1">
      <c r="I427" s="30"/>
      <c r="J427" s="30"/>
    </row>
    <row r="428" ht="15.75" customHeight="1">
      <c r="I428" s="30"/>
      <c r="J428" s="30"/>
    </row>
    <row r="429" ht="15.75" customHeight="1">
      <c r="I429" s="30"/>
      <c r="J429" s="30"/>
    </row>
    <row r="430" ht="15.75" customHeight="1">
      <c r="I430" s="30"/>
      <c r="J430" s="30"/>
    </row>
    <row r="431" ht="15.75" customHeight="1">
      <c r="I431" s="30"/>
      <c r="J431" s="30"/>
    </row>
    <row r="432" ht="15.75" customHeight="1">
      <c r="I432" s="30"/>
      <c r="J432" s="30"/>
    </row>
    <row r="433" ht="15.75" customHeight="1">
      <c r="I433" s="30"/>
      <c r="J433" s="30"/>
    </row>
    <row r="434" ht="15.75" customHeight="1">
      <c r="I434" s="30"/>
      <c r="J434" s="30"/>
    </row>
    <row r="435" ht="15.75" customHeight="1">
      <c r="I435" s="30"/>
      <c r="J435" s="30"/>
    </row>
    <row r="436" ht="15.75" customHeight="1">
      <c r="I436" s="30"/>
      <c r="J436" s="30"/>
    </row>
    <row r="437" ht="15.75" customHeight="1">
      <c r="I437" s="30"/>
      <c r="J437" s="30"/>
    </row>
    <row r="438" ht="15.75" customHeight="1">
      <c r="I438" s="30"/>
      <c r="J438" s="30"/>
    </row>
    <row r="439" ht="15.75" customHeight="1">
      <c r="I439" s="30"/>
      <c r="J439" s="30"/>
    </row>
    <row r="440" ht="15.75" customHeight="1">
      <c r="I440" s="30"/>
      <c r="J440" s="30"/>
    </row>
    <row r="441" ht="15.75" customHeight="1">
      <c r="I441" s="30"/>
      <c r="J441" s="30"/>
    </row>
    <row r="442" ht="15.75" customHeight="1">
      <c r="I442" s="30"/>
      <c r="J442" s="30"/>
    </row>
    <row r="443" ht="15.75" customHeight="1">
      <c r="I443" s="30"/>
      <c r="J443" s="30"/>
    </row>
    <row r="444" ht="15.75" customHeight="1">
      <c r="I444" s="30"/>
      <c r="J444" s="30"/>
    </row>
    <row r="445" ht="15.75" customHeight="1">
      <c r="I445" s="30"/>
      <c r="J445" s="30"/>
    </row>
    <row r="446" ht="15.75" customHeight="1">
      <c r="I446" s="30"/>
      <c r="J446" s="30"/>
    </row>
    <row r="447" ht="15.75" customHeight="1">
      <c r="I447" s="30"/>
      <c r="J447" s="30"/>
    </row>
    <row r="448" ht="15.75" customHeight="1">
      <c r="I448" s="30"/>
      <c r="J448" s="30"/>
    </row>
    <row r="449" ht="15.75" customHeight="1">
      <c r="I449" s="30"/>
      <c r="J449" s="30"/>
    </row>
    <row r="450" ht="15.75" customHeight="1">
      <c r="I450" s="30"/>
      <c r="J450" s="30"/>
    </row>
    <row r="451" ht="15.75" customHeight="1">
      <c r="I451" s="30"/>
      <c r="J451" s="30"/>
    </row>
    <row r="452" ht="15.75" customHeight="1">
      <c r="I452" s="30"/>
      <c r="J452" s="30"/>
    </row>
    <row r="453" ht="15.75" customHeight="1">
      <c r="I453" s="30"/>
      <c r="J453" s="30"/>
    </row>
    <row r="454" ht="15.75" customHeight="1">
      <c r="I454" s="30"/>
      <c r="J454" s="30"/>
    </row>
    <row r="455" ht="15.75" customHeight="1">
      <c r="I455" s="30"/>
      <c r="J455" s="30"/>
    </row>
    <row r="456" ht="15.75" customHeight="1">
      <c r="I456" s="30"/>
      <c r="J456" s="30"/>
    </row>
    <row r="457" ht="15.75" customHeight="1">
      <c r="I457" s="30"/>
      <c r="J457" s="30"/>
    </row>
    <row r="458" ht="15.75" customHeight="1">
      <c r="I458" s="30"/>
      <c r="J458" s="30"/>
    </row>
    <row r="459" ht="15.75" customHeight="1">
      <c r="I459" s="30"/>
      <c r="J459" s="30"/>
    </row>
    <row r="460" ht="15.75" customHeight="1">
      <c r="I460" s="30"/>
      <c r="J460" s="30"/>
    </row>
    <row r="461" ht="15.75" customHeight="1">
      <c r="I461" s="30"/>
      <c r="J461" s="30"/>
    </row>
    <row r="462" ht="15.75" customHeight="1">
      <c r="I462" s="30"/>
      <c r="J462" s="30"/>
    </row>
    <row r="463" ht="15.75" customHeight="1">
      <c r="I463" s="30"/>
      <c r="J463" s="30"/>
    </row>
    <row r="464" ht="15.75" customHeight="1">
      <c r="I464" s="30"/>
      <c r="J464" s="30"/>
    </row>
    <row r="465" ht="15.75" customHeight="1">
      <c r="I465" s="30"/>
      <c r="J465" s="30"/>
    </row>
    <row r="466" ht="15.75" customHeight="1">
      <c r="I466" s="30"/>
      <c r="J466" s="30"/>
    </row>
    <row r="467" ht="15.75" customHeight="1">
      <c r="I467" s="30"/>
      <c r="J467" s="30"/>
    </row>
    <row r="468" ht="15.75" customHeight="1">
      <c r="I468" s="30"/>
      <c r="J468" s="30"/>
    </row>
    <row r="469" ht="15.75" customHeight="1">
      <c r="I469" s="30"/>
      <c r="J469" s="30"/>
    </row>
    <row r="470" ht="15.75" customHeight="1">
      <c r="I470" s="30"/>
      <c r="J470" s="30"/>
    </row>
    <row r="471" ht="15.75" customHeight="1">
      <c r="I471" s="30"/>
      <c r="J471" s="30"/>
    </row>
    <row r="472" ht="15.75" customHeight="1">
      <c r="I472" s="30"/>
      <c r="J472" s="30"/>
    </row>
    <row r="473" ht="15.75" customHeight="1">
      <c r="I473" s="30"/>
      <c r="J473" s="30"/>
    </row>
    <row r="474" ht="15.75" customHeight="1">
      <c r="I474" s="30"/>
      <c r="J474" s="30"/>
    </row>
    <row r="475" ht="15.75" customHeight="1">
      <c r="I475" s="30"/>
      <c r="J475" s="30"/>
    </row>
    <row r="476" ht="15.75" customHeight="1">
      <c r="I476" s="30"/>
      <c r="J476" s="30"/>
    </row>
    <row r="477" ht="15.75" customHeight="1">
      <c r="I477" s="30"/>
      <c r="J477" s="30"/>
    </row>
    <row r="478" ht="15.75" customHeight="1">
      <c r="I478" s="30"/>
      <c r="J478" s="30"/>
    </row>
    <row r="479" ht="15.75" customHeight="1">
      <c r="I479" s="30"/>
      <c r="J479" s="30"/>
    </row>
    <row r="480" ht="15.75" customHeight="1">
      <c r="I480" s="30"/>
      <c r="J480" s="30"/>
    </row>
    <row r="481" ht="15.75" customHeight="1">
      <c r="I481" s="30"/>
      <c r="J481" s="30"/>
    </row>
    <row r="482" ht="15.75" customHeight="1">
      <c r="I482" s="30"/>
      <c r="J482" s="30"/>
    </row>
    <row r="483" ht="15.75" customHeight="1">
      <c r="I483" s="30"/>
      <c r="J483" s="30"/>
    </row>
    <row r="484" ht="15.75" customHeight="1">
      <c r="I484" s="30"/>
      <c r="J484" s="30"/>
    </row>
    <row r="485" ht="15.75" customHeight="1">
      <c r="I485" s="30"/>
      <c r="J485" s="30"/>
    </row>
    <row r="486" ht="15.75" customHeight="1">
      <c r="I486" s="30"/>
      <c r="J486" s="30"/>
    </row>
    <row r="487" ht="15.75" customHeight="1">
      <c r="I487" s="30"/>
      <c r="J487" s="30"/>
    </row>
    <row r="488" ht="15.75" customHeight="1">
      <c r="I488" s="30"/>
      <c r="J488" s="30"/>
    </row>
    <row r="489" ht="15.75" customHeight="1">
      <c r="I489" s="30"/>
      <c r="J489" s="30"/>
    </row>
    <row r="490" ht="15.75" customHeight="1">
      <c r="I490" s="30"/>
      <c r="J490" s="30"/>
    </row>
    <row r="491" ht="15.75" customHeight="1">
      <c r="I491" s="30"/>
      <c r="J491" s="30"/>
    </row>
    <row r="492" ht="15.75" customHeight="1">
      <c r="I492" s="30"/>
      <c r="J492" s="30"/>
    </row>
    <row r="493" ht="15.75" customHeight="1">
      <c r="I493" s="30"/>
      <c r="J493" s="30"/>
    </row>
    <row r="494" ht="15.75" customHeight="1">
      <c r="I494" s="30"/>
      <c r="J494" s="30"/>
    </row>
    <row r="495" ht="15.75" customHeight="1">
      <c r="I495" s="30"/>
      <c r="J495" s="30"/>
    </row>
    <row r="496" ht="15.75" customHeight="1">
      <c r="I496" s="30"/>
      <c r="J496" s="30"/>
    </row>
    <row r="497" ht="15.75" customHeight="1">
      <c r="I497" s="30"/>
      <c r="J497" s="30"/>
    </row>
    <row r="498" ht="15.75" customHeight="1">
      <c r="I498" s="30"/>
      <c r="J498" s="30"/>
    </row>
    <row r="499" ht="15.75" customHeight="1">
      <c r="I499" s="30"/>
      <c r="J499" s="30"/>
    </row>
    <row r="500" ht="15.75" customHeight="1">
      <c r="I500" s="30"/>
      <c r="J500" s="30"/>
    </row>
    <row r="501" ht="15.75" customHeight="1">
      <c r="I501" s="30"/>
      <c r="J501" s="30"/>
    </row>
    <row r="502" ht="15.75" customHeight="1">
      <c r="I502" s="30"/>
      <c r="J502" s="30"/>
    </row>
    <row r="503" ht="15.75" customHeight="1">
      <c r="I503" s="30"/>
      <c r="J503" s="30"/>
    </row>
    <row r="504" ht="15.75" customHeight="1">
      <c r="I504" s="30"/>
      <c r="J504" s="30"/>
    </row>
    <row r="505" ht="15.75" customHeight="1">
      <c r="I505" s="30"/>
      <c r="J505" s="30"/>
    </row>
    <row r="506" ht="15.75" customHeight="1">
      <c r="I506" s="30"/>
      <c r="J506" s="30"/>
    </row>
    <row r="507" ht="15.75" customHeight="1">
      <c r="I507" s="30"/>
      <c r="J507" s="30"/>
    </row>
    <row r="508" ht="15.75" customHeight="1">
      <c r="I508" s="30"/>
      <c r="J508" s="30"/>
    </row>
    <row r="509" ht="15.75" customHeight="1">
      <c r="I509" s="30"/>
      <c r="J509" s="30"/>
    </row>
    <row r="510" ht="15.75" customHeight="1">
      <c r="I510" s="30"/>
      <c r="J510" s="30"/>
    </row>
    <row r="511" ht="15.75" customHeight="1">
      <c r="I511" s="30"/>
      <c r="J511" s="30"/>
    </row>
    <row r="512" ht="15.75" customHeight="1">
      <c r="I512" s="30"/>
      <c r="J512" s="30"/>
    </row>
    <row r="513" ht="15.75" customHeight="1">
      <c r="I513" s="30"/>
      <c r="J513" s="30"/>
    </row>
    <row r="514" ht="15.75" customHeight="1">
      <c r="I514" s="30"/>
      <c r="J514" s="30"/>
    </row>
    <row r="515" ht="15.75" customHeight="1">
      <c r="I515" s="30"/>
      <c r="J515" s="30"/>
    </row>
    <row r="516" ht="15.75" customHeight="1">
      <c r="I516" s="30"/>
      <c r="J516" s="30"/>
    </row>
    <row r="517" ht="15.75" customHeight="1">
      <c r="I517" s="30"/>
      <c r="J517" s="30"/>
    </row>
    <row r="518" ht="15.75" customHeight="1">
      <c r="I518" s="30"/>
      <c r="J518" s="30"/>
    </row>
    <row r="519" ht="15.75" customHeight="1">
      <c r="I519" s="30"/>
      <c r="J519" s="30"/>
    </row>
    <row r="520" ht="15.75" customHeight="1">
      <c r="I520" s="30"/>
      <c r="J520" s="30"/>
    </row>
    <row r="521" ht="15.75" customHeight="1">
      <c r="I521" s="30"/>
      <c r="J521" s="30"/>
    </row>
    <row r="522" ht="15.75" customHeight="1">
      <c r="I522" s="30"/>
      <c r="J522" s="30"/>
    </row>
    <row r="523" ht="15.75" customHeight="1">
      <c r="I523" s="30"/>
      <c r="J523" s="30"/>
    </row>
    <row r="524" ht="15.75" customHeight="1">
      <c r="I524" s="30"/>
      <c r="J524" s="30"/>
    </row>
    <row r="525" ht="15.75" customHeight="1">
      <c r="I525" s="30"/>
      <c r="J525" s="30"/>
    </row>
    <row r="526" ht="15.75" customHeight="1">
      <c r="I526" s="30"/>
      <c r="J526" s="30"/>
    </row>
    <row r="527" ht="15.75" customHeight="1">
      <c r="I527" s="30"/>
      <c r="J527" s="30"/>
    </row>
    <row r="528" ht="15.75" customHeight="1">
      <c r="I528" s="30"/>
      <c r="J528" s="30"/>
    </row>
    <row r="529" ht="15.75" customHeight="1">
      <c r="I529" s="30"/>
      <c r="J529" s="30"/>
    </row>
    <row r="530" ht="15.75" customHeight="1">
      <c r="I530" s="30"/>
      <c r="J530" s="30"/>
    </row>
    <row r="531" ht="15.75" customHeight="1">
      <c r="I531" s="30"/>
      <c r="J531" s="30"/>
    </row>
    <row r="532" ht="15.75" customHeight="1">
      <c r="I532" s="30"/>
      <c r="J532" s="30"/>
    </row>
    <row r="533" ht="15.75" customHeight="1">
      <c r="I533" s="30"/>
      <c r="J533" s="30"/>
    </row>
    <row r="534" ht="15.75" customHeight="1">
      <c r="I534" s="30"/>
      <c r="J534" s="30"/>
    </row>
    <row r="535" ht="15.75" customHeight="1">
      <c r="I535" s="30"/>
      <c r="J535" s="30"/>
    </row>
    <row r="536" ht="15.75" customHeight="1">
      <c r="I536" s="30"/>
      <c r="J536" s="30"/>
    </row>
    <row r="537" ht="15.75" customHeight="1">
      <c r="I537" s="30"/>
      <c r="J537" s="30"/>
    </row>
    <row r="538" ht="15.75" customHeight="1">
      <c r="I538" s="30"/>
      <c r="J538" s="30"/>
    </row>
    <row r="539" ht="15.75" customHeight="1">
      <c r="I539" s="30"/>
      <c r="J539" s="30"/>
    </row>
    <row r="540" ht="15.75" customHeight="1">
      <c r="I540" s="30"/>
      <c r="J540" s="30"/>
    </row>
    <row r="541" ht="15.75" customHeight="1">
      <c r="I541" s="30"/>
      <c r="J541" s="30"/>
    </row>
    <row r="542" ht="15.75" customHeight="1">
      <c r="I542" s="30"/>
      <c r="J542" s="30"/>
    </row>
    <row r="543" ht="15.75" customHeight="1">
      <c r="I543" s="30"/>
      <c r="J543" s="30"/>
    </row>
    <row r="544" ht="15.75" customHeight="1">
      <c r="I544" s="30"/>
      <c r="J544" s="30"/>
    </row>
    <row r="545" ht="15.75" customHeight="1">
      <c r="I545" s="30"/>
      <c r="J545" s="30"/>
    </row>
    <row r="546" ht="15.75" customHeight="1">
      <c r="I546" s="30"/>
      <c r="J546" s="30"/>
    </row>
    <row r="547" ht="15.75" customHeight="1">
      <c r="I547" s="30"/>
      <c r="J547" s="30"/>
    </row>
    <row r="548" ht="15.75" customHeight="1">
      <c r="I548" s="30"/>
      <c r="J548" s="30"/>
    </row>
    <row r="549" ht="15.75" customHeight="1">
      <c r="I549" s="30"/>
      <c r="J549" s="30"/>
    </row>
    <row r="550" ht="15.75" customHeight="1">
      <c r="I550" s="30"/>
      <c r="J550" s="30"/>
    </row>
    <row r="551" ht="15.75" customHeight="1">
      <c r="I551" s="30"/>
      <c r="J551" s="30"/>
    </row>
    <row r="552" ht="15.75" customHeight="1">
      <c r="I552" s="30"/>
      <c r="J552" s="30"/>
    </row>
    <row r="553" ht="15.75" customHeight="1">
      <c r="I553" s="30"/>
      <c r="J553" s="30"/>
    </row>
    <row r="554" ht="15.75" customHeight="1">
      <c r="I554" s="30"/>
      <c r="J554" s="30"/>
    </row>
    <row r="555" ht="15.75" customHeight="1">
      <c r="I555" s="30"/>
      <c r="J555" s="30"/>
    </row>
    <row r="556" ht="15.75" customHeight="1">
      <c r="I556" s="30"/>
      <c r="J556" s="30"/>
    </row>
    <row r="557" ht="15.75" customHeight="1">
      <c r="I557" s="30"/>
      <c r="J557" s="30"/>
    </row>
    <row r="558" ht="15.75" customHeight="1">
      <c r="I558" s="30"/>
      <c r="J558" s="30"/>
    </row>
    <row r="559" ht="15.75" customHeight="1">
      <c r="I559" s="30"/>
      <c r="J559" s="30"/>
    </row>
    <row r="560" ht="15.75" customHeight="1">
      <c r="I560" s="30"/>
      <c r="J560" s="30"/>
    </row>
    <row r="561" ht="15.75" customHeight="1">
      <c r="I561" s="30"/>
      <c r="J561" s="30"/>
    </row>
    <row r="562" ht="15.75" customHeight="1">
      <c r="I562" s="30"/>
      <c r="J562" s="30"/>
    </row>
    <row r="563" ht="15.75" customHeight="1">
      <c r="I563" s="30"/>
      <c r="J563" s="30"/>
    </row>
    <row r="564" ht="15.75" customHeight="1">
      <c r="I564" s="30"/>
      <c r="J564" s="30"/>
    </row>
    <row r="565" ht="15.75" customHeight="1">
      <c r="I565" s="30"/>
      <c r="J565" s="30"/>
    </row>
    <row r="566" ht="15.75" customHeight="1">
      <c r="I566" s="30"/>
      <c r="J566" s="30"/>
    </row>
    <row r="567" ht="15.75" customHeight="1">
      <c r="I567" s="30"/>
      <c r="J567" s="30"/>
    </row>
    <row r="568" ht="15.75" customHeight="1">
      <c r="I568" s="30"/>
      <c r="J568" s="30"/>
    </row>
    <row r="569" ht="15.75" customHeight="1">
      <c r="I569" s="30"/>
      <c r="J569" s="30"/>
    </row>
    <row r="570" ht="15.75" customHeight="1">
      <c r="I570" s="30"/>
      <c r="J570" s="30"/>
    </row>
    <row r="571" ht="15.75" customHeight="1">
      <c r="I571" s="30"/>
      <c r="J571" s="30"/>
    </row>
    <row r="572" ht="15.75" customHeight="1">
      <c r="I572" s="30"/>
      <c r="J572" s="30"/>
    </row>
    <row r="573" ht="15.75" customHeight="1">
      <c r="I573" s="30"/>
      <c r="J573" s="30"/>
    </row>
    <row r="574" ht="15.75" customHeight="1">
      <c r="I574" s="30"/>
      <c r="J574" s="30"/>
    </row>
    <row r="575" ht="15.75" customHeight="1">
      <c r="I575" s="30"/>
      <c r="J575" s="30"/>
    </row>
    <row r="576" ht="15.75" customHeight="1">
      <c r="I576" s="30"/>
      <c r="J576" s="30"/>
    </row>
    <row r="577" ht="15.75" customHeight="1">
      <c r="I577" s="30"/>
      <c r="J577" s="30"/>
    </row>
    <row r="578" ht="15.75" customHeight="1">
      <c r="I578" s="30"/>
      <c r="J578" s="30"/>
    </row>
    <row r="579" ht="15.75" customHeight="1">
      <c r="I579" s="30"/>
      <c r="J579" s="30"/>
    </row>
    <row r="580" ht="15.75" customHeight="1">
      <c r="I580" s="30"/>
      <c r="J580" s="30"/>
    </row>
    <row r="581" ht="15.75" customHeight="1">
      <c r="I581" s="30"/>
      <c r="J581" s="30"/>
    </row>
    <row r="582" ht="15.75" customHeight="1">
      <c r="I582" s="30"/>
      <c r="J582" s="30"/>
    </row>
    <row r="583" ht="15.75" customHeight="1">
      <c r="I583" s="30"/>
      <c r="J583" s="30"/>
    </row>
    <row r="584" ht="15.75" customHeight="1">
      <c r="I584" s="30"/>
      <c r="J584" s="30"/>
    </row>
    <row r="585" ht="15.75" customHeight="1">
      <c r="I585" s="30"/>
      <c r="J585" s="30"/>
    </row>
    <row r="586" ht="15.75" customHeight="1">
      <c r="I586" s="30"/>
      <c r="J586" s="30"/>
    </row>
    <row r="587" ht="15.75" customHeight="1">
      <c r="I587" s="30"/>
      <c r="J587" s="30"/>
    </row>
    <row r="588" ht="15.75" customHeight="1">
      <c r="I588" s="30"/>
      <c r="J588" s="30"/>
    </row>
    <row r="589" ht="15.75" customHeight="1">
      <c r="I589" s="30"/>
      <c r="J589" s="30"/>
    </row>
    <row r="590" ht="15.75" customHeight="1">
      <c r="I590" s="30"/>
      <c r="J590" s="30"/>
    </row>
    <row r="591" ht="15.75" customHeight="1">
      <c r="I591" s="30"/>
      <c r="J591" s="30"/>
    </row>
    <row r="592" ht="15.75" customHeight="1">
      <c r="I592" s="30"/>
      <c r="J592" s="30"/>
    </row>
    <row r="593" ht="15.75" customHeight="1">
      <c r="I593" s="30"/>
      <c r="J593" s="30"/>
    </row>
    <row r="594" ht="15.75" customHeight="1">
      <c r="I594" s="30"/>
      <c r="J594" s="30"/>
    </row>
    <row r="595" ht="15.75" customHeight="1">
      <c r="I595" s="30"/>
      <c r="J595" s="30"/>
    </row>
    <row r="596" ht="15.75" customHeight="1">
      <c r="I596" s="30"/>
      <c r="J596" s="30"/>
    </row>
    <row r="597" ht="15.75" customHeight="1">
      <c r="I597" s="30"/>
      <c r="J597" s="30"/>
    </row>
    <row r="598" ht="15.75" customHeight="1">
      <c r="I598" s="30"/>
      <c r="J598" s="30"/>
    </row>
    <row r="599" ht="15.75" customHeight="1">
      <c r="I599" s="30"/>
      <c r="J599" s="30"/>
    </row>
    <row r="600" ht="15.75" customHeight="1">
      <c r="I600" s="30"/>
      <c r="J600" s="30"/>
    </row>
    <row r="601" ht="15.75" customHeight="1">
      <c r="I601" s="30"/>
      <c r="J601" s="30"/>
    </row>
    <row r="602" ht="15.75" customHeight="1">
      <c r="I602" s="30"/>
      <c r="J602" s="30"/>
    </row>
    <row r="603" ht="15.75" customHeight="1">
      <c r="I603" s="30"/>
      <c r="J603" s="30"/>
    </row>
    <row r="604" ht="15.75" customHeight="1">
      <c r="I604" s="30"/>
      <c r="J604" s="30"/>
    </row>
    <row r="605" ht="15.75" customHeight="1">
      <c r="I605" s="30"/>
      <c r="J605" s="30"/>
    </row>
    <row r="606" ht="15.75" customHeight="1">
      <c r="I606" s="30"/>
      <c r="J606" s="30"/>
    </row>
    <row r="607" ht="15.75" customHeight="1">
      <c r="I607" s="30"/>
      <c r="J607" s="30"/>
    </row>
    <row r="608" ht="15.75" customHeight="1">
      <c r="I608" s="30"/>
      <c r="J608" s="30"/>
    </row>
    <row r="609" ht="15.75" customHeight="1">
      <c r="I609" s="30"/>
      <c r="J609" s="30"/>
    </row>
    <row r="610" ht="15.75" customHeight="1">
      <c r="I610" s="30"/>
      <c r="J610" s="30"/>
    </row>
    <row r="611" ht="15.75" customHeight="1">
      <c r="I611" s="30"/>
      <c r="J611" s="30"/>
    </row>
    <row r="612" ht="15.75" customHeight="1">
      <c r="I612" s="30"/>
      <c r="J612" s="30"/>
    </row>
    <row r="613" ht="15.75" customHeight="1">
      <c r="I613" s="30"/>
      <c r="J613" s="30"/>
    </row>
    <row r="614" ht="15.75" customHeight="1">
      <c r="I614" s="30"/>
      <c r="J614" s="30"/>
    </row>
    <row r="615" ht="15.75" customHeight="1">
      <c r="I615" s="30"/>
      <c r="J615" s="30"/>
    </row>
    <row r="616" ht="15.75" customHeight="1">
      <c r="I616" s="30"/>
      <c r="J616" s="30"/>
    </row>
    <row r="617" ht="15.75" customHeight="1">
      <c r="I617" s="30"/>
      <c r="J617" s="30"/>
    </row>
    <row r="618" ht="15.75" customHeight="1">
      <c r="I618" s="30"/>
      <c r="J618" s="30"/>
    </row>
    <row r="619" ht="15.75" customHeight="1">
      <c r="I619" s="30"/>
      <c r="J619" s="30"/>
    </row>
    <row r="620" ht="15.75" customHeight="1">
      <c r="I620" s="30"/>
      <c r="J620" s="30"/>
    </row>
    <row r="621" ht="15.75" customHeight="1">
      <c r="I621" s="30"/>
      <c r="J621" s="30"/>
    </row>
    <row r="622" ht="15.75" customHeight="1">
      <c r="I622" s="30"/>
      <c r="J622" s="30"/>
    </row>
    <row r="623" ht="15.75" customHeight="1">
      <c r="I623" s="30"/>
      <c r="J623" s="30"/>
    </row>
    <row r="624" ht="15.75" customHeight="1">
      <c r="I624" s="30"/>
      <c r="J624" s="30"/>
    </row>
    <row r="625" ht="15.75" customHeight="1">
      <c r="I625" s="30"/>
      <c r="J625" s="30"/>
    </row>
    <row r="626" ht="15.75" customHeight="1">
      <c r="I626" s="30"/>
      <c r="J626" s="30"/>
    </row>
    <row r="627" ht="15.75" customHeight="1">
      <c r="I627" s="30"/>
      <c r="J627" s="30"/>
    </row>
    <row r="628" ht="15.75" customHeight="1">
      <c r="I628" s="30"/>
      <c r="J628" s="30"/>
    </row>
    <row r="629" ht="15.75" customHeight="1">
      <c r="I629" s="30"/>
      <c r="J629" s="30"/>
    </row>
    <row r="630" ht="15.75" customHeight="1">
      <c r="I630" s="30"/>
      <c r="J630" s="30"/>
    </row>
    <row r="631" ht="15.75" customHeight="1">
      <c r="I631" s="30"/>
      <c r="J631" s="30"/>
    </row>
    <row r="632" ht="15.75" customHeight="1">
      <c r="I632" s="30"/>
      <c r="J632" s="30"/>
    </row>
    <row r="633" ht="15.75" customHeight="1">
      <c r="I633" s="30"/>
      <c r="J633" s="30"/>
    </row>
    <row r="634" ht="15.75" customHeight="1">
      <c r="I634" s="30"/>
      <c r="J634" s="30"/>
    </row>
    <row r="635" ht="15.75" customHeight="1">
      <c r="I635" s="30"/>
      <c r="J635" s="30"/>
    </row>
    <row r="636" ht="15.75" customHeight="1">
      <c r="I636" s="30"/>
      <c r="J636" s="30"/>
    </row>
    <row r="637" ht="15.75" customHeight="1">
      <c r="I637" s="30"/>
      <c r="J637" s="30"/>
    </row>
    <row r="638" ht="15.75" customHeight="1">
      <c r="I638" s="30"/>
      <c r="J638" s="30"/>
    </row>
    <row r="639" ht="15.75" customHeight="1">
      <c r="I639" s="30"/>
      <c r="J639" s="30"/>
    </row>
    <row r="640" ht="15.75" customHeight="1">
      <c r="I640" s="30"/>
      <c r="J640" s="30"/>
    </row>
    <row r="641" ht="15.75" customHeight="1">
      <c r="I641" s="30"/>
      <c r="J641" s="30"/>
    </row>
    <row r="642" ht="15.75" customHeight="1">
      <c r="I642" s="30"/>
      <c r="J642" s="30"/>
    </row>
    <row r="643" ht="15.75" customHeight="1">
      <c r="I643" s="30"/>
      <c r="J643" s="30"/>
    </row>
    <row r="644" ht="15.75" customHeight="1">
      <c r="I644" s="30"/>
      <c r="J644" s="30"/>
    </row>
    <row r="645" ht="15.75" customHeight="1">
      <c r="I645" s="30"/>
      <c r="J645" s="30"/>
    </row>
    <row r="646" ht="15.75" customHeight="1">
      <c r="I646" s="30"/>
      <c r="J646" s="30"/>
    </row>
    <row r="647" ht="15.75" customHeight="1">
      <c r="I647" s="30"/>
      <c r="J647" s="30"/>
    </row>
    <row r="648" ht="15.75" customHeight="1">
      <c r="I648" s="30"/>
      <c r="J648" s="30"/>
    </row>
    <row r="649" ht="15.75" customHeight="1">
      <c r="I649" s="30"/>
      <c r="J649" s="30"/>
    </row>
    <row r="650" ht="15.75" customHeight="1">
      <c r="I650" s="30"/>
      <c r="J650" s="30"/>
    </row>
    <row r="651" ht="15.75" customHeight="1">
      <c r="I651" s="30"/>
      <c r="J651" s="30"/>
    </row>
    <row r="652" ht="15.75" customHeight="1">
      <c r="I652" s="30"/>
      <c r="J652" s="30"/>
    </row>
    <row r="653" ht="15.75" customHeight="1">
      <c r="I653" s="30"/>
      <c r="J653" s="30"/>
    </row>
    <row r="654" ht="15.75" customHeight="1">
      <c r="I654" s="30"/>
      <c r="J654" s="30"/>
    </row>
    <row r="655" ht="15.75" customHeight="1">
      <c r="I655" s="30"/>
      <c r="J655" s="30"/>
    </row>
    <row r="656" ht="15.75" customHeight="1">
      <c r="I656" s="30"/>
      <c r="J656" s="30"/>
    </row>
    <row r="657" ht="15.75" customHeight="1">
      <c r="I657" s="30"/>
      <c r="J657" s="30"/>
    </row>
    <row r="658" ht="15.75" customHeight="1">
      <c r="I658" s="30"/>
      <c r="J658" s="30"/>
    </row>
    <row r="659" ht="15.75" customHeight="1">
      <c r="I659" s="30"/>
      <c r="J659" s="30"/>
    </row>
    <row r="660" ht="15.75" customHeight="1">
      <c r="I660" s="30"/>
      <c r="J660" s="30"/>
    </row>
    <row r="661" ht="15.75" customHeight="1">
      <c r="I661" s="30"/>
      <c r="J661" s="30"/>
    </row>
    <row r="662" ht="15.75" customHeight="1">
      <c r="I662" s="30"/>
      <c r="J662" s="30"/>
    </row>
    <row r="663" ht="15.75" customHeight="1">
      <c r="I663" s="30"/>
      <c r="J663" s="30"/>
    </row>
    <row r="664" ht="15.75" customHeight="1">
      <c r="I664" s="30"/>
      <c r="J664" s="30"/>
    </row>
    <row r="665" ht="15.75" customHeight="1">
      <c r="I665" s="30"/>
      <c r="J665" s="30"/>
    </row>
    <row r="666" ht="15.75" customHeight="1">
      <c r="I666" s="30"/>
      <c r="J666" s="30"/>
    </row>
    <row r="667" ht="15.75" customHeight="1">
      <c r="I667" s="30"/>
      <c r="J667" s="30"/>
    </row>
    <row r="668" ht="15.75" customHeight="1">
      <c r="I668" s="30"/>
      <c r="J668" s="30"/>
    </row>
    <row r="669" ht="15.75" customHeight="1">
      <c r="I669" s="30"/>
      <c r="J669" s="30"/>
    </row>
    <row r="670" ht="15.75" customHeight="1">
      <c r="I670" s="30"/>
      <c r="J670" s="30"/>
    </row>
    <row r="671" ht="15.75" customHeight="1">
      <c r="I671" s="30"/>
      <c r="J671" s="30"/>
    </row>
    <row r="672" ht="15.75" customHeight="1">
      <c r="I672" s="30"/>
      <c r="J672" s="30"/>
    </row>
    <row r="673" ht="15.75" customHeight="1">
      <c r="I673" s="30"/>
      <c r="J673" s="30"/>
    </row>
    <row r="674" ht="15.75" customHeight="1">
      <c r="I674" s="30"/>
      <c r="J674" s="30"/>
    </row>
    <row r="675" ht="15.75" customHeight="1">
      <c r="I675" s="30"/>
      <c r="J675" s="30"/>
    </row>
    <row r="676" ht="15.75" customHeight="1">
      <c r="I676" s="30"/>
      <c r="J676" s="30"/>
    </row>
    <row r="677" ht="15.75" customHeight="1">
      <c r="I677" s="30"/>
      <c r="J677" s="30"/>
    </row>
    <row r="678" ht="15.75" customHeight="1">
      <c r="I678" s="30"/>
      <c r="J678" s="30"/>
    </row>
    <row r="679" ht="15.75" customHeight="1">
      <c r="I679" s="30"/>
      <c r="J679" s="30"/>
    </row>
    <row r="680" ht="15.75" customHeight="1">
      <c r="I680" s="30"/>
      <c r="J680" s="30"/>
    </row>
    <row r="681" ht="15.75" customHeight="1">
      <c r="I681" s="30"/>
      <c r="J681" s="30"/>
    </row>
    <row r="682" ht="15.75" customHeight="1">
      <c r="I682" s="30"/>
      <c r="J682" s="30"/>
    </row>
    <row r="683" ht="15.75" customHeight="1">
      <c r="I683" s="30"/>
      <c r="J683" s="30"/>
    </row>
    <row r="684" ht="15.75" customHeight="1">
      <c r="I684" s="30"/>
      <c r="J684" s="30"/>
    </row>
    <row r="685" ht="15.75" customHeight="1">
      <c r="I685" s="30"/>
      <c r="J685" s="30"/>
    </row>
    <row r="686" ht="15.75" customHeight="1">
      <c r="I686" s="30"/>
      <c r="J686" s="30"/>
    </row>
    <row r="687" ht="15.75" customHeight="1">
      <c r="I687" s="30"/>
      <c r="J687" s="30"/>
    </row>
    <row r="688" ht="15.75" customHeight="1">
      <c r="I688" s="30"/>
      <c r="J688" s="30"/>
    </row>
    <row r="689" ht="15.75" customHeight="1">
      <c r="I689" s="30"/>
      <c r="J689" s="30"/>
    </row>
    <row r="690" ht="15.75" customHeight="1">
      <c r="I690" s="30"/>
      <c r="J690" s="30"/>
    </row>
    <row r="691" ht="15.75" customHeight="1">
      <c r="I691" s="30"/>
      <c r="J691" s="30"/>
    </row>
    <row r="692" ht="15.75" customHeight="1">
      <c r="I692" s="30"/>
      <c r="J692" s="30"/>
    </row>
    <row r="693" ht="15.75" customHeight="1">
      <c r="I693" s="30"/>
      <c r="J693" s="30"/>
    </row>
    <row r="694" ht="15.75" customHeight="1">
      <c r="I694" s="30"/>
      <c r="J694" s="30"/>
    </row>
    <row r="695" ht="15.75" customHeight="1">
      <c r="I695" s="30"/>
      <c r="J695" s="30"/>
    </row>
    <row r="696" ht="15.75" customHeight="1">
      <c r="I696" s="30"/>
      <c r="J696" s="30"/>
    </row>
    <row r="697" ht="15.75" customHeight="1">
      <c r="I697" s="30"/>
      <c r="J697" s="30"/>
    </row>
    <row r="698" ht="15.75" customHeight="1">
      <c r="I698" s="30"/>
      <c r="J698" s="30"/>
    </row>
    <row r="699" ht="15.75" customHeight="1">
      <c r="I699" s="30"/>
      <c r="J699" s="30"/>
    </row>
    <row r="700" ht="15.75" customHeight="1">
      <c r="I700" s="30"/>
      <c r="J700" s="30"/>
    </row>
    <row r="701" ht="15.75" customHeight="1">
      <c r="I701" s="30"/>
      <c r="J701" s="30"/>
    </row>
    <row r="702" ht="15.75" customHeight="1">
      <c r="I702" s="30"/>
      <c r="J702" s="30"/>
    </row>
    <row r="703" ht="15.75" customHeight="1">
      <c r="I703" s="30"/>
      <c r="J703" s="30"/>
    </row>
    <row r="704" ht="15.75" customHeight="1">
      <c r="I704" s="30"/>
      <c r="J704" s="30"/>
    </row>
    <row r="705" ht="15.75" customHeight="1">
      <c r="I705" s="30"/>
      <c r="J705" s="30"/>
    </row>
    <row r="706" ht="15.75" customHeight="1">
      <c r="I706" s="30"/>
      <c r="J706" s="30"/>
    </row>
    <row r="707" ht="15.75" customHeight="1">
      <c r="I707" s="30"/>
      <c r="J707" s="30"/>
    </row>
    <row r="708" ht="15.75" customHeight="1">
      <c r="I708" s="30"/>
      <c r="J708" s="30"/>
    </row>
    <row r="709" ht="15.75" customHeight="1">
      <c r="I709" s="30"/>
      <c r="J709" s="30"/>
    </row>
    <row r="710" ht="15.75" customHeight="1">
      <c r="I710" s="30"/>
      <c r="J710" s="30"/>
    </row>
    <row r="711" ht="15.75" customHeight="1">
      <c r="I711" s="30"/>
      <c r="J711" s="30"/>
    </row>
    <row r="712" ht="15.75" customHeight="1">
      <c r="I712" s="30"/>
      <c r="J712" s="30"/>
    </row>
    <row r="713" ht="15.75" customHeight="1">
      <c r="I713" s="30"/>
      <c r="J713" s="30"/>
    </row>
    <row r="714" ht="15.75" customHeight="1">
      <c r="I714" s="30"/>
      <c r="J714" s="30"/>
    </row>
    <row r="715" ht="15.75" customHeight="1">
      <c r="I715" s="30"/>
      <c r="J715" s="30"/>
    </row>
    <row r="716" ht="15.75" customHeight="1">
      <c r="I716" s="30"/>
      <c r="J716" s="30"/>
    </row>
    <row r="717" ht="15.75" customHeight="1">
      <c r="I717" s="30"/>
      <c r="J717" s="30"/>
    </row>
    <row r="718" ht="15.75" customHeight="1">
      <c r="I718" s="30"/>
      <c r="J718" s="30"/>
    </row>
    <row r="719" ht="15.75" customHeight="1">
      <c r="I719" s="30"/>
      <c r="J719" s="30"/>
    </row>
    <row r="720" ht="15.75" customHeight="1">
      <c r="I720" s="30"/>
      <c r="J720" s="30"/>
    </row>
    <row r="721" ht="15.75" customHeight="1">
      <c r="I721" s="30"/>
      <c r="J721" s="30"/>
    </row>
    <row r="722" ht="15.75" customHeight="1">
      <c r="I722" s="30"/>
      <c r="J722" s="30"/>
    </row>
    <row r="723" ht="15.75" customHeight="1">
      <c r="I723" s="30"/>
      <c r="J723" s="30"/>
    </row>
    <row r="724" ht="15.75" customHeight="1">
      <c r="I724" s="30"/>
      <c r="J724" s="30"/>
    </row>
    <row r="725" ht="15.75" customHeight="1">
      <c r="I725" s="30"/>
      <c r="J725" s="30"/>
    </row>
    <row r="726" ht="15.75" customHeight="1">
      <c r="I726" s="30"/>
      <c r="J726" s="30"/>
    </row>
    <row r="727" ht="15.75" customHeight="1">
      <c r="I727" s="30"/>
      <c r="J727" s="30"/>
    </row>
    <row r="728" ht="15.75" customHeight="1">
      <c r="I728" s="30"/>
      <c r="J728" s="30"/>
    </row>
    <row r="729" ht="15.75" customHeight="1">
      <c r="I729" s="30"/>
      <c r="J729" s="30"/>
    </row>
    <row r="730" ht="15.75" customHeight="1">
      <c r="I730" s="30"/>
      <c r="J730" s="30"/>
    </row>
    <row r="731" ht="15.75" customHeight="1">
      <c r="I731" s="30"/>
      <c r="J731" s="30"/>
    </row>
    <row r="732" ht="15.75" customHeight="1">
      <c r="I732" s="30"/>
      <c r="J732" s="30"/>
    </row>
    <row r="733" ht="15.75" customHeight="1">
      <c r="I733" s="30"/>
      <c r="J733" s="30"/>
    </row>
    <row r="734" ht="15.75" customHeight="1">
      <c r="I734" s="30"/>
      <c r="J734" s="30"/>
    </row>
    <row r="735" ht="15.75" customHeight="1">
      <c r="I735" s="30"/>
      <c r="J735" s="30"/>
    </row>
    <row r="736" ht="15.75" customHeight="1">
      <c r="I736" s="30"/>
      <c r="J736" s="30"/>
    </row>
    <row r="737" ht="15.75" customHeight="1">
      <c r="I737" s="30"/>
      <c r="J737" s="30"/>
    </row>
    <row r="738" ht="15.75" customHeight="1">
      <c r="I738" s="30"/>
      <c r="J738" s="30"/>
    </row>
    <row r="739" ht="15.75" customHeight="1">
      <c r="I739" s="30"/>
      <c r="J739" s="30"/>
    </row>
    <row r="740" ht="15.75" customHeight="1">
      <c r="I740" s="30"/>
      <c r="J740" s="30"/>
    </row>
    <row r="741" ht="15.75" customHeight="1">
      <c r="I741" s="30"/>
      <c r="J741" s="30"/>
    </row>
    <row r="742" ht="15.75" customHeight="1">
      <c r="I742" s="30"/>
      <c r="J742" s="30"/>
    </row>
    <row r="743" ht="15.75" customHeight="1">
      <c r="I743" s="30"/>
      <c r="J743" s="30"/>
    </row>
    <row r="744" ht="15.75" customHeight="1">
      <c r="I744" s="30"/>
      <c r="J744" s="30"/>
    </row>
    <row r="745" ht="15.75" customHeight="1">
      <c r="I745" s="30"/>
      <c r="J745" s="30"/>
    </row>
    <row r="746" ht="15.75" customHeight="1">
      <c r="I746" s="30"/>
      <c r="J746" s="30"/>
    </row>
    <row r="747" ht="15.75" customHeight="1">
      <c r="I747" s="30"/>
      <c r="J747" s="30"/>
    </row>
    <row r="748" ht="15.75" customHeight="1">
      <c r="I748" s="30"/>
      <c r="J748" s="30"/>
    </row>
    <row r="749" ht="15.75" customHeight="1">
      <c r="I749" s="30"/>
      <c r="J749" s="30"/>
    </row>
    <row r="750" ht="15.75" customHeight="1">
      <c r="I750" s="30"/>
      <c r="J750" s="30"/>
    </row>
    <row r="751" ht="15.75" customHeight="1">
      <c r="I751" s="30"/>
      <c r="J751" s="30"/>
    </row>
    <row r="752" ht="15.75" customHeight="1">
      <c r="I752" s="30"/>
      <c r="J752" s="30"/>
    </row>
    <row r="753" ht="15.75" customHeight="1">
      <c r="I753" s="30"/>
      <c r="J753" s="30"/>
    </row>
    <row r="754" ht="15.75" customHeight="1">
      <c r="I754" s="30"/>
      <c r="J754" s="30"/>
    </row>
    <row r="755" ht="15.75" customHeight="1">
      <c r="I755" s="30"/>
      <c r="J755" s="30"/>
    </row>
    <row r="756" ht="15.75" customHeight="1">
      <c r="I756" s="30"/>
      <c r="J756" s="30"/>
    </row>
    <row r="757" ht="15.75" customHeight="1">
      <c r="I757" s="30"/>
      <c r="J757" s="30"/>
    </row>
    <row r="758" ht="15.75" customHeight="1">
      <c r="I758" s="30"/>
      <c r="J758" s="30"/>
    </row>
    <row r="759" ht="15.75" customHeight="1">
      <c r="I759" s="30"/>
      <c r="J759" s="30"/>
    </row>
    <row r="760" ht="15.75" customHeight="1">
      <c r="I760" s="30"/>
      <c r="J760" s="30"/>
    </row>
    <row r="761" ht="15.75" customHeight="1">
      <c r="I761" s="30"/>
      <c r="J761" s="30"/>
    </row>
    <row r="762" ht="15.75" customHeight="1">
      <c r="I762" s="30"/>
      <c r="J762" s="30"/>
    </row>
    <row r="763" ht="15.75" customHeight="1">
      <c r="I763" s="30"/>
      <c r="J763" s="30"/>
    </row>
    <row r="764" ht="15.75" customHeight="1">
      <c r="I764" s="30"/>
      <c r="J764" s="30"/>
    </row>
    <row r="765" ht="15.75" customHeight="1">
      <c r="I765" s="30"/>
      <c r="J765" s="30"/>
    </row>
    <row r="766" ht="15.75" customHeight="1">
      <c r="I766" s="30"/>
      <c r="J766" s="30"/>
    </row>
    <row r="767" ht="15.75" customHeight="1">
      <c r="I767" s="30"/>
      <c r="J767" s="30"/>
    </row>
    <row r="768" ht="15.75" customHeight="1">
      <c r="I768" s="30"/>
      <c r="J768" s="30"/>
    </row>
    <row r="769" ht="15.75" customHeight="1">
      <c r="I769" s="30"/>
      <c r="J769" s="30"/>
    </row>
    <row r="770" ht="15.75" customHeight="1">
      <c r="I770" s="30"/>
      <c r="J770" s="30"/>
    </row>
    <row r="771" ht="15.75" customHeight="1">
      <c r="I771" s="30"/>
      <c r="J771" s="30"/>
    </row>
    <row r="772" ht="15.75" customHeight="1">
      <c r="I772" s="30"/>
      <c r="J772" s="30"/>
    </row>
    <row r="773" ht="15.75" customHeight="1">
      <c r="I773" s="30"/>
      <c r="J773" s="30"/>
    </row>
    <row r="774" ht="15.75" customHeight="1">
      <c r="I774" s="30"/>
      <c r="J774" s="30"/>
    </row>
    <row r="775" ht="15.75" customHeight="1">
      <c r="I775" s="30"/>
      <c r="J775" s="30"/>
    </row>
    <row r="776" ht="15.75" customHeight="1">
      <c r="I776" s="30"/>
      <c r="J776" s="30"/>
    </row>
    <row r="777" ht="15.75" customHeight="1">
      <c r="I777" s="30"/>
      <c r="J777" s="30"/>
    </row>
    <row r="778" ht="15.75" customHeight="1">
      <c r="I778" s="30"/>
      <c r="J778" s="30"/>
    </row>
    <row r="779" ht="15.75" customHeight="1">
      <c r="I779" s="30"/>
      <c r="J779" s="30"/>
    </row>
    <row r="780" ht="15.75" customHeight="1">
      <c r="I780" s="30"/>
      <c r="J780" s="30"/>
    </row>
    <row r="781" ht="15.75" customHeight="1">
      <c r="I781" s="30"/>
      <c r="J781" s="30"/>
    </row>
    <row r="782" ht="15.75" customHeight="1">
      <c r="I782" s="30"/>
      <c r="J782" s="30"/>
    </row>
    <row r="783" ht="15.75" customHeight="1">
      <c r="I783" s="30"/>
      <c r="J783" s="30"/>
    </row>
    <row r="784" ht="15.75" customHeight="1">
      <c r="I784" s="30"/>
      <c r="J784" s="30"/>
    </row>
    <row r="785" ht="15.75" customHeight="1">
      <c r="I785" s="30"/>
      <c r="J785" s="30"/>
    </row>
    <row r="786" ht="15.75" customHeight="1">
      <c r="I786" s="30"/>
      <c r="J786" s="30"/>
    </row>
    <row r="787" ht="15.75" customHeight="1">
      <c r="I787" s="30"/>
      <c r="J787" s="30"/>
    </row>
    <row r="788" ht="15.75" customHeight="1">
      <c r="I788" s="30"/>
      <c r="J788" s="30"/>
    </row>
    <row r="789" ht="15.75" customHeight="1">
      <c r="I789" s="30"/>
      <c r="J789" s="30"/>
    </row>
    <row r="790" ht="15.75" customHeight="1">
      <c r="I790" s="30"/>
      <c r="J790" s="30"/>
    </row>
    <row r="791" ht="15.75" customHeight="1">
      <c r="I791" s="30"/>
      <c r="J791" s="30"/>
    </row>
    <row r="792" ht="15.75" customHeight="1">
      <c r="I792" s="30"/>
      <c r="J792" s="30"/>
    </row>
    <row r="793" ht="15.75" customHeight="1">
      <c r="I793" s="30"/>
      <c r="J793" s="30"/>
    </row>
    <row r="794" ht="15.75" customHeight="1">
      <c r="I794" s="30"/>
      <c r="J794" s="30"/>
    </row>
    <row r="795" ht="15.75" customHeight="1">
      <c r="I795" s="30"/>
      <c r="J795" s="30"/>
    </row>
    <row r="796" ht="15.75" customHeight="1">
      <c r="I796" s="30"/>
      <c r="J796" s="30"/>
    </row>
    <row r="797" ht="15.75" customHeight="1">
      <c r="I797" s="30"/>
      <c r="J797" s="30"/>
    </row>
    <row r="798" ht="15.75" customHeight="1">
      <c r="I798" s="30"/>
      <c r="J798" s="30"/>
    </row>
    <row r="799" ht="15.75" customHeight="1">
      <c r="I799" s="30"/>
      <c r="J799" s="30"/>
    </row>
    <row r="800" ht="15.75" customHeight="1">
      <c r="I800" s="30"/>
      <c r="J800" s="30"/>
    </row>
    <row r="801" ht="15.75" customHeight="1">
      <c r="I801" s="30"/>
      <c r="J801" s="30"/>
    </row>
    <row r="802" ht="15.75" customHeight="1">
      <c r="I802" s="30"/>
      <c r="J802" s="30"/>
    </row>
    <row r="803" ht="15.75" customHeight="1">
      <c r="I803" s="30"/>
      <c r="J803" s="30"/>
    </row>
    <row r="804" ht="15.75" customHeight="1">
      <c r="I804" s="30"/>
      <c r="J804" s="30"/>
    </row>
    <row r="805" ht="15.75" customHeight="1">
      <c r="I805" s="30"/>
      <c r="J805" s="30"/>
    </row>
    <row r="806" ht="15.75" customHeight="1">
      <c r="I806" s="30"/>
      <c r="J806" s="30"/>
    </row>
    <row r="807" ht="15.75" customHeight="1">
      <c r="I807" s="30"/>
      <c r="J807" s="30"/>
    </row>
    <row r="808" ht="15.75" customHeight="1">
      <c r="I808" s="30"/>
      <c r="J808" s="30"/>
    </row>
    <row r="809" ht="15.75" customHeight="1">
      <c r="I809" s="30"/>
      <c r="J809" s="30"/>
    </row>
    <row r="810" ht="15.75" customHeight="1">
      <c r="I810" s="30"/>
      <c r="J810" s="30"/>
    </row>
    <row r="811" ht="15.75" customHeight="1">
      <c r="I811" s="30"/>
      <c r="J811" s="30"/>
    </row>
    <row r="812" ht="15.75" customHeight="1">
      <c r="I812" s="30"/>
      <c r="J812" s="30"/>
    </row>
    <row r="813" ht="15.75" customHeight="1">
      <c r="I813" s="30"/>
      <c r="J813" s="30"/>
    </row>
    <row r="814" ht="15.75" customHeight="1">
      <c r="I814" s="30"/>
      <c r="J814" s="30"/>
    </row>
    <row r="815" ht="15.75" customHeight="1">
      <c r="I815" s="30"/>
      <c r="J815" s="30"/>
    </row>
    <row r="816" ht="15.75" customHeight="1">
      <c r="I816" s="30"/>
      <c r="J816" s="30"/>
    </row>
    <row r="817" ht="15.75" customHeight="1">
      <c r="I817" s="30"/>
      <c r="J817" s="30"/>
    </row>
    <row r="818" ht="15.75" customHeight="1">
      <c r="I818" s="30"/>
      <c r="J818" s="30"/>
    </row>
    <row r="819" ht="15.75" customHeight="1">
      <c r="I819" s="30"/>
      <c r="J819" s="30"/>
    </row>
    <row r="820" ht="15.75" customHeight="1">
      <c r="I820" s="30"/>
      <c r="J820" s="30"/>
    </row>
    <row r="821" ht="15.75" customHeight="1">
      <c r="I821" s="30"/>
      <c r="J821" s="30"/>
    </row>
    <row r="822" ht="15.75" customHeight="1">
      <c r="I822" s="30"/>
      <c r="J822" s="30"/>
    </row>
    <row r="823" ht="15.75" customHeight="1">
      <c r="I823" s="30"/>
      <c r="J823" s="30"/>
    </row>
    <row r="824" ht="15.75" customHeight="1">
      <c r="I824" s="30"/>
      <c r="J824" s="30"/>
    </row>
    <row r="825" ht="15.75" customHeight="1">
      <c r="I825" s="30"/>
      <c r="J825" s="30"/>
    </row>
    <row r="826" ht="15.75" customHeight="1">
      <c r="I826" s="30"/>
      <c r="J826" s="30"/>
    </row>
    <row r="827" ht="15.75" customHeight="1">
      <c r="I827" s="30"/>
      <c r="J827" s="30"/>
    </row>
    <row r="828" ht="15.75" customHeight="1">
      <c r="I828" s="30"/>
      <c r="J828" s="30"/>
    </row>
    <row r="829" ht="15.75" customHeight="1">
      <c r="I829" s="30"/>
      <c r="J829" s="30"/>
    </row>
    <row r="830" ht="15.75" customHeight="1">
      <c r="I830" s="30"/>
      <c r="J830" s="30"/>
    </row>
    <row r="831" ht="15.75" customHeight="1">
      <c r="I831" s="30"/>
      <c r="J831" s="30"/>
    </row>
    <row r="832" ht="15.75" customHeight="1">
      <c r="I832" s="30"/>
      <c r="J832" s="30"/>
    </row>
    <row r="833" ht="15.75" customHeight="1">
      <c r="I833" s="30"/>
      <c r="J833" s="30"/>
    </row>
    <row r="834" ht="15.75" customHeight="1">
      <c r="I834" s="30"/>
      <c r="J834" s="30"/>
    </row>
    <row r="835" ht="15.75" customHeight="1">
      <c r="I835" s="30"/>
      <c r="J835" s="30"/>
    </row>
    <row r="836" ht="15.75" customHeight="1">
      <c r="I836" s="30"/>
      <c r="J836" s="30"/>
    </row>
    <row r="837" ht="15.75" customHeight="1">
      <c r="I837" s="30"/>
      <c r="J837" s="30"/>
    </row>
    <row r="838" ht="15.75" customHeight="1">
      <c r="I838" s="30"/>
      <c r="J838" s="30"/>
    </row>
    <row r="839" ht="15.75" customHeight="1">
      <c r="I839" s="30"/>
      <c r="J839" s="30"/>
    </row>
    <row r="840" ht="15.75" customHeight="1">
      <c r="I840" s="30"/>
      <c r="J840" s="30"/>
    </row>
    <row r="841" ht="15.75" customHeight="1">
      <c r="I841" s="30"/>
      <c r="J841" s="30"/>
    </row>
    <row r="842" ht="15.75" customHeight="1">
      <c r="I842" s="30"/>
      <c r="J842" s="30"/>
    </row>
    <row r="843" ht="15.75" customHeight="1">
      <c r="I843" s="30"/>
      <c r="J843" s="30"/>
    </row>
    <row r="844" ht="15.75" customHeight="1">
      <c r="I844" s="30"/>
      <c r="J844" s="30"/>
    </row>
    <row r="845" ht="15.75" customHeight="1">
      <c r="I845" s="30"/>
      <c r="J845" s="30"/>
    </row>
    <row r="846" ht="15.75" customHeight="1">
      <c r="I846" s="30"/>
      <c r="J846" s="30"/>
    </row>
    <row r="847" ht="15.75" customHeight="1">
      <c r="I847" s="30"/>
      <c r="J847" s="30"/>
    </row>
    <row r="848" ht="15.75" customHeight="1">
      <c r="I848" s="30"/>
      <c r="J848" s="30"/>
    </row>
    <row r="849" ht="15.75" customHeight="1">
      <c r="I849" s="30"/>
      <c r="J849" s="30"/>
    </row>
    <row r="850" ht="15.75" customHeight="1">
      <c r="I850" s="30"/>
      <c r="J850" s="30"/>
    </row>
    <row r="851" ht="15.75" customHeight="1">
      <c r="I851" s="30"/>
      <c r="J851" s="30"/>
    </row>
    <row r="852" ht="15.75" customHeight="1">
      <c r="I852" s="30"/>
      <c r="J852" s="30"/>
    </row>
    <row r="853" ht="15.75" customHeight="1">
      <c r="I853" s="30"/>
      <c r="J853" s="30"/>
    </row>
    <row r="854" ht="15.75" customHeight="1">
      <c r="I854" s="30"/>
      <c r="J854" s="30"/>
    </row>
    <row r="855" ht="15.75" customHeight="1">
      <c r="I855" s="30"/>
      <c r="J855" s="30"/>
    </row>
    <row r="856" ht="15.75" customHeight="1">
      <c r="I856" s="30"/>
      <c r="J856" s="30"/>
    </row>
    <row r="857" ht="15.75" customHeight="1">
      <c r="I857" s="30"/>
      <c r="J857" s="30"/>
    </row>
    <row r="858" ht="15.75" customHeight="1">
      <c r="I858" s="30"/>
      <c r="J858" s="30"/>
    </row>
    <row r="859" ht="15.75" customHeight="1">
      <c r="I859" s="30"/>
      <c r="J859" s="30"/>
    </row>
    <row r="860" ht="15.75" customHeight="1">
      <c r="I860" s="30"/>
      <c r="J860" s="30"/>
    </row>
    <row r="861" ht="15.75" customHeight="1">
      <c r="I861" s="30"/>
      <c r="J861" s="30"/>
    </row>
    <row r="862" ht="15.75" customHeight="1">
      <c r="I862" s="30"/>
      <c r="J862" s="30"/>
    </row>
    <row r="863" ht="15.75" customHeight="1">
      <c r="I863" s="30"/>
      <c r="J863" s="30"/>
    </row>
    <row r="864" ht="15.75" customHeight="1">
      <c r="I864" s="30"/>
      <c r="J864" s="30"/>
    </row>
    <row r="865" ht="15.75" customHeight="1">
      <c r="I865" s="30"/>
      <c r="J865" s="30"/>
    </row>
    <row r="866" ht="15.75" customHeight="1">
      <c r="I866" s="30"/>
      <c r="J866" s="30"/>
    </row>
    <row r="867" ht="15.75" customHeight="1">
      <c r="I867" s="30"/>
      <c r="J867" s="30"/>
    </row>
    <row r="868" ht="15.75" customHeight="1">
      <c r="I868" s="30"/>
      <c r="J868" s="30"/>
    </row>
    <row r="869" ht="15.75" customHeight="1">
      <c r="I869" s="30"/>
      <c r="J869" s="30"/>
    </row>
    <row r="870" ht="15.75" customHeight="1">
      <c r="I870" s="30"/>
      <c r="J870" s="30"/>
    </row>
    <row r="871" ht="15.75" customHeight="1">
      <c r="I871" s="30"/>
      <c r="J871" s="30"/>
    </row>
    <row r="872" ht="15.75" customHeight="1">
      <c r="I872" s="30"/>
      <c r="J872" s="30"/>
    </row>
    <row r="873" ht="15.75" customHeight="1">
      <c r="I873" s="30"/>
      <c r="J873" s="30"/>
    </row>
    <row r="874" ht="15.75" customHeight="1">
      <c r="I874" s="30"/>
      <c r="J874" s="30"/>
    </row>
    <row r="875" ht="15.75" customHeight="1">
      <c r="I875" s="30"/>
      <c r="J875" s="30"/>
    </row>
    <row r="876" ht="15.75" customHeight="1">
      <c r="I876" s="30"/>
      <c r="J876" s="30"/>
    </row>
    <row r="877" ht="15.75" customHeight="1">
      <c r="I877" s="30"/>
      <c r="J877" s="30"/>
    </row>
    <row r="878" ht="15.75" customHeight="1">
      <c r="I878" s="30"/>
      <c r="J878" s="30"/>
    </row>
    <row r="879" ht="15.75" customHeight="1">
      <c r="I879" s="30"/>
      <c r="J879" s="30"/>
    </row>
    <row r="880" ht="15.75" customHeight="1">
      <c r="I880" s="30"/>
      <c r="J880" s="30"/>
    </row>
    <row r="881" ht="15.75" customHeight="1">
      <c r="I881" s="30"/>
      <c r="J881" s="30"/>
    </row>
    <row r="882" ht="15.75" customHeight="1">
      <c r="I882" s="30"/>
      <c r="J882" s="30"/>
    </row>
    <row r="883" ht="15.75" customHeight="1">
      <c r="I883" s="30"/>
      <c r="J883" s="30"/>
    </row>
    <row r="884" ht="15.75" customHeight="1">
      <c r="I884" s="30"/>
      <c r="J884" s="30"/>
    </row>
    <row r="885" ht="15.75" customHeight="1">
      <c r="I885" s="30"/>
      <c r="J885" s="30"/>
    </row>
    <row r="886" ht="15.75" customHeight="1">
      <c r="I886" s="30"/>
      <c r="J886" s="30"/>
    </row>
    <row r="887" ht="15.75" customHeight="1">
      <c r="I887" s="30"/>
      <c r="J887" s="30"/>
    </row>
    <row r="888" ht="15.75" customHeight="1">
      <c r="I888" s="30"/>
      <c r="J888" s="30"/>
    </row>
    <row r="889" ht="15.75" customHeight="1">
      <c r="I889" s="30"/>
      <c r="J889" s="30"/>
    </row>
    <row r="890" ht="15.75" customHeight="1">
      <c r="I890" s="30"/>
      <c r="J890" s="30"/>
    </row>
    <row r="891" ht="15.75" customHeight="1">
      <c r="I891" s="30"/>
      <c r="J891" s="30"/>
    </row>
    <row r="892" ht="15.75" customHeight="1">
      <c r="I892" s="30"/>
      <c r="J892" s="30"/>
    </row>
    <row r="893" ht="15.75" customHeight="1">
      <c r="I893" s="30"/>
      <c r="J893" s="30"/>
    </row>
    <row r="894" ht="15.75" customHeight="1">
      <c r="I894" s="30"/>
      <c r="J894" s="30"/>
    </row>
    <row r="895" ht="15.75" customHeight="1">
      <c r="I895" s="30"/>
      <c r="J895" s="30"/>
    </row>
    <row r="896" ht="15.75" customHeight="1">
      <c r="I896" s="30"/>
      <c r="J896" s="30"/>
    </row>
    <row r="897" ht="15.75" customHeight="1">
      <c r="I897" s="30"/>
      <c r="J897" s="30"/>
    </row>
    <row r="898" ht="15.75" customHeight="1">
      <c r="I898" s="30"/>
      <c r="J898" s="30"/>
    </row>
    <row r="899" ht="15.75" customHeight="1">
      <c r="I899" s="30"/>
      <c r="J899" s="30"/>
    </row>
    <row r="900" ht="15.75" customHeight="1">
      <c r="I900" s="30"/>
      <c r="J900" s="30"/>
    </row>
    <row r="901" ht="15.75" customHeight="1">
      <c r="I901" s="30"/>
      <c r="J901" s="30"/>
    </row>
    <row r="902" ht="15.75" customHeight="1">
      <c r="I902" s="30"/>
      <c r="J902" s="30"/>
    </row>
    <row r="903" ht="15.75" customHeight="1">
      <c r="I903" s="30"/>
      <c r="J903" s="30"/>
    </row>
    <row r="904" ht="15.75" customHeight="1">
      <c r="I904" s="30"/>
      <c r="J904" s="30"/>
    </row>
    <row r="905" ht="15.75" customHeight="1">
      <c r="I905" s="30"/>
      <c r="J905" s="30"/>
    </row>
    <row r="906" ht="15.75" customHeight="1">
      <c r="I906" s="30"/>
      <c r="J906" s="30"/>
    </row>
    <row r="907" ht="15.75" customHeight="1">
      <c r="I907" s="30"/>
      <c r="J907" s="30"/>
    </row>
    <row r="908" ht="15.75" customHeight="1">
      <c r="I908" s="30"/>
      <c r="J908" s="30"/>
    </row>
    <row r="909" ht="15.75" customHeight="1">
      <c r="I909" s="30"/>
      <c r="J909" s="30"/>
    </row>
    <row r="910" ht="15.75" customHeight="1">
      <c r="I910" s="30"/>
      <c r="J910" s="30"/>
    </row>
    <row r="911" ht="15.75" customHeight="1">
      <c r="I911" s="30"/>
      <c r="J911" s="30"/>
    </row>
    <row r="912" ht="15.75" customHeight="1">
      <c r="I912" s="30"/>
      <c r="J912" s="30"/>
    </row>
    <row r="913" ht="15.75" customHeight="1">
      <c r="I913" s="30"/>
      <c r="J913" s="30"/>
    </row>
    <row r="914" ht="15.75" customHeight="1">
      <c r="I914" s="30"/>
      <c r="J914" s="30"/>
    </row>
    <row r="915" ht="15.75" customHeight="1">
      <c r="I915" s="30"/>
      <c r="J915" s="30"/>
    </row>
    <row r="916" ht="15.75" customHeight="1">
      <c r="I916" s="30"/>
      <c r="J916" s="30"/>
    </row>
    <row r="917" ht="15.75" customHeight="1">
      <c r="I917" s="30"/>
      <c r="J917" s="30"/>
    </row>
    <row r="918" ht="15.75" customHeight="1">
      <c r="I918" s="30"/>
      <c r="J918" s="30"/>
    </row>
    <row r="919" ht="15.75" customHeight="1">
      <c r="I919" s="30"/>
      <c r="J919" s="30"/>
    </row>
    <row r="920" ht="15.75" customHeight="1">
      <c r="I920" s="30"/>
      <c r="J920" s="30"/>
    </row>
    <row r="921" ht="15.75" customHeight="1">
      <c r="I921" s="30"/>
      <c r="J921" s="30"/>
    </row>
    <row r="922" ht="15.75" customHeight="1">
      <c r="I922" s="30"/>
      <c r="J922" s="30"/>
    </row>
    <row r="923" ht="15.75" customHeight="1">
      <c r="I923" s="30"/>
      <c r="J923" s="30"/>
    </row>
    <row r="924" ht="15.75" customHeight="1">
      <c r="I924" s="30"/>
      <c r="J924" s="30"/>
    </row>
    <row r="925" ht="15.75" customHeight="1">
      <c r="I925" s="30"/>
      <c r="J925" s="30"/>
    </row>
    <row r="926" ht="15.75" customHeight="1">
      <c r="I926" s="30"/>
      <c r="J926" s="30"/>
    </row>
    <row r="927" ht="15.75" customHeight="1">
      <c r="I927" s="30"/>
      <c r="J927" s="30"/>
    </row>
    <row r="928" ht="15.75" customHeight="1">
      <c r="I928" s="30"/>
      <c r="J928" s="30"/>
    </row>
    <row r="929" ht="15.75" customHeight="1">
      <c r="I929" s="30"/>
      <c r="J929" s="30"/>
    </row>
    <row r="930" ht="15.75" customHeight="1">
      <c r="I930" s="30"/>
      <c r="J930" s="30"/>
    </row>
    <row r="931" ht="15.75" customHeight="1">
      <c r="I931" s="30"/>
      <c r="J931" s="30"/>
    </row>
    <row r="932" ht="15.75" customHeight="1">
      <c r="I932" s="30"/>
      <c r="J932" s="30"/>
    </row>
    <row r="933" ht="15.75" customHeight="1">
      <c r="I933" s="30"/>
      <c r="J933" s="30"/>
    </row>
    <row r="934" ht="15.75" customHeight="1">
      <c r="I934" s="30"/>
      <c r="J934" s="30"/>
    </row>
    <row r="935" ht="15.75" customHeight="1">
      <c r="I935" s="30"/>
      <c r="J935" s="30"/>
    </row>
    <row r="936" ht="15.75" customHeight="1">
      <c r="I936" s="30"/>
      <c r="J936" s="30"/>
    </row>
    <row r="937" ht="15.75" customHeight="1">
      <c r="I937" s="30"/>
      <c r="J937" s="30"/>
    </row>
    <row r="938" ht="15.75" customHeight="1">
      <c r="I938" s="30"/>
      <c r="J938" s="30"/>
    </row>
    <row r="939" ht="15.75" customHeight="1">
      <c r="I939" s="30"/>
      <c r="J939" s="30"/>
    </row>
    <row r="940" ht="15.75" customHeight="1">
      <c r="I940" s="30"/>
      <c r="J940" s="30"/>
    </row>
    <row r="941" ht="15.75" customHeight="1">
      <c r="I941" s="30"/>
      <c r="J941" s="30"/>
    </row>
    <row r="942" ht="15.75" customHeight="1">
      <c r="I942" s="30"/>
      <c r="J942" s="30"/>
    </row>
    <row r="943" ht="15.75" customHeight="1">
      <c r="I943" s="30"/>
      <c r="J943" s="30"/>
    </row>
    <row r="944" ht="15.75" customHeight="1">
      <c r="I944" s="30"/>
      <c r="J944" s="30"/>
    </row>
    <row r="945" ht="15.75" customHeight="1">
      <c r="I945" s="30"/>
      <c r="J945" s="30"/>
    </row>
    <row r="946" ht="15.75" customHeight="1">
      <c r="I946" s="30"/>
      <c r="J946" s="30"/>
    </row>
    <row r="947" ht="15.75" customHeight="1">
      <c r="I947" s="30"/>
      <c r="J947" s="30"/>
    </row>
    <row r="948" ht="15.75" customHeight="1">
      <c r="I948" s="30"/>
      <c r="J948" s="30"/>
    </row>
    <row r="949" ht="15.75" customHeight="1">
      <c r="I949" s="30"/>
      <c r="J949" s="30"/>
    </row>
    <row r="950" ht="15.75" customHeight="1">
      <c r="I950" s="30"/>
      <c r="J950" s="30"/>
    </row>
    <row r="951" ht="15.75" customHeight="1">
      <c r="I951" s="30"/>
      <c r="J951" s="30"/>
    </row>
    <row r="952" ht="15.75" customHeight="1">
      <c r="I952" s="30"/>
      <c r="J952" s="30"/>
    </row>
    <row r="953" ht="15.75" customHeight="1">
      <c r="I953" s="30"/>
      <c r="J953" s="30"/>
    </row>
    <row r="954" ht="15.75" customHeight="1">
      <c r="I954" s="30"/>
      <c r="J954" s="30"/>
    </row>
    <row r="955" ht="15.75" customHeight="1">
      <c r="I955" s="30"/>
      <c r="J955" s="30"/>
    </row>
    <row r="956" ht="15.75" customHeight="1">
      <c r="I956" s="30"/>
      <c r="J956" s="30"/>
    </row>
    <row r="957" ht="15.75" customHeight="1">
      <c r="I957" s="30"/>
      <c r="J957" s="30"/>
    </row>
    <row r="958" ht="15.75" customHeight="1">
      <c r="I958" s="30"/>
      <c r="J958" s="30"/>
    </row>
    <row r="959" ht="15.75" customHeight="1">
      <c r="I959" s="30"/>
      <c r="J959" s="30"/>
    </row>
    <row r="960" ht="15.75" customHeight="1">
      <c r="I960" s="30"/>
      <c r="J960" s="30"/>
    </row>
    <row r="961" ht="15.75" customHeight="1">
      <c r="I961" s="30"/>
      <c r="J961" s="30"/>
    </row>
    <row r="962" ht="15.75" customHeight="1">
      <c r="I962" s="30"/>
      <c r="J962" s="30"/>
    </row>
    <row r="963" ht="15.75" customHeight="1">
      <c r="I963" s="30"/>
      <c r="J963" s="30"/>
    </row>
    <row r="964" ht="15.75" customHeight="1">
      <c r="I964" s="30"/>
      <c r="J964" s="30"/>
    </row>
    <row r="965" ht="15.75" customHeight="1">
      <c r="I965" s="30"/>
      <c r="J965" s="30"/>
    </row>
    <row r="966" ht="15.75" customHeight="1">
      <c r="I966" s="30"/>
      <c r="J966" s="30"/>
    </row>
    <row r="967" ht="15.75" customHeight="1">
      <c r="I967" s="30"/>
      <c r="J967" s="30"/>
    </row>
    <row r="968" ht="15.75" customHeight="1">
      <c r="I968" s="30"/>
      <c r="J968" s="30"/>
    </row>
    <row r="969" ht="15.75" customHeight="1">
      <c r="I969" s="30"/>
      <c r="J969" s="30"/>
    </row>
    <row r="970" ht="15.75" customHeight="1">
      <c r="I970" s="30"/>
      <c r="J970" s="30"/>
    </row>
    <row r="971" ht="15.75" customHeight="1">
      <c r="I971" s="30"/>
      <c r="J971" s="30"/>
    </row>
    <row r="972" ht="15.75" customHeight="1">
      <c r="I972" s="30"/>
      <c r="J972" s="30"/>
    </row>
    <row r="973" ht="15.75" customHeight="1">
      <c r="I973" s="30"/>
      <c r="J973" s="30"/>
    </row>
    <row r="974" ht="15.75" customHeight="1">
      <c r="I974" s="30"/>
      <c r="J974" s="30"/>
    </row>
    <row r="975" ht="15.75" customHeight="1">
      <c r="I975" s="30"/>
      <c r="J975" s="30"/>
    </row>
    <row r="976" ht="15.75" customHeight="1">
      <c r="I976" s="30"/>
      <c r="J976" s="30"/>
    </row>
    <row r="977" ht="15.75" customHeight="1">
      <c r="I977" s="30"/>
      <c r="J977" s="30"/>
    </row>
    <row r="978" ht="15.75" customHeight="1">
      <c r="I978" s="30"/>
      <c r="J978" s="30"/>
    </row>
    <row r="979" ht="15.75" customHeight="1">
      <c r="I979" s="30"/>
      <c r="J979" s="30"/>
    </row>
    <row r="980" ht="15.75" customHeight="1">
      <c r="I980" s="30"/>
      <c r="J980" s="30"/>
    </row>
    <row r="981" ht="15.75" customHeight="1">
      <c r="I981" s="30"/>
      <c r="J981" s="30"/>
    </row>
    <row r="982" ht="15.75" customHeight="1">
      <c r="I982" s="30"/>
      <c r="J982" s="30"/>
    </row>
    <row r="983" ht="15.75" customHeight="1">
      <c r="I983" s="30"/>
      <c r="J983" s="30"/>
    </row>
    <row r="984" ht="15.75" customHeight="1">
      <c r="I984" s="30"/>
      <c r="J984" s="30"/>
    </row>
    <row r="985" ht="15.75" customHeight="1">
      <c r="I985" s="30"/>
      <c r="J985" s="30"/>
    </row>
    <row r="986" ht="15.75" customHeight="1">
      <c r="I986" s="30"/>
      <c r="J986" s="30"/>
    </row>
    <row r="987" ht="15.75" customHeight="1">
      <c r="I987" s="30"/>
      <c r="J987" s="30"/>
    </row>
    <row r="988" ht="15.75" customHeight="1">
      <c r="I988" s="30"/>
      <c r="J988" s="30"/>
    </row>
    <row r="989" ht="15.75" customHeight="1">
      <c r="I989" s="30"/>
      <c r="J989" s="30"/>
    </row>
    <row r="990" ht="15.75" customHeight="1">
      <c r="I990" s="30"/>
      <c r="J990" s="30"/>
    </row>
    <row r="991" ht="15.75" customHeight="1">
      <c r="I991" s="30"/>
      <c r="J991" s="30"/>
    </row>
    <row r="992" ht="15.75" customHeight="1">
      <c r="I992" s="30"/>
      <c r="J992" s="30"/>
    </row>
    <row r="993" ht="15.75" customHeight="1">
      <c r="I993" s="30"/>
      <c r="J993" s="30"/>
    </row>
    <row r="994" ht="15.75" customHeight="1">
      <c r="I994" s="30"/>
      <c r="J994" s="30"/>
    </row>
    <row r="995" ht="15.75" customHeight="1">
      <c r="I995" s="30"/>
      <c r="J995" s="30"/>
    </row>
    <row r="996" ht="15.75" customHeight="1">
      <c r="I996" s="30"/>
      <c r="J996" s="30"/>
    </row>
    <row r="997" ht="15.75" customHeight="1">
      <c r="I997" s="30"/>
      <c r="J997" s="30"/>
    </row>
    <row r="998" ht="15.75" customHeight="1">
      <c r="I998" s="30"/>
      <c r="J998" s="30"/>
    </row>
    <row r="999" ht="15.75" customHeight="1">
      <c r="I999" s="30"/>
      <c r="J999" s="30"/>
    </row>
    <row r="1000" ht="15.75" customHeight="1">
      <c r="I1000" s="30"/>
      <c r="J1000" s="30"/>
    </row>
  </sheetData>
  <conditionalFormatting sqref="E23 E29 E58 E71:E72 E78 E98 E121 E143 E152 E157 E163:E164 E170">
    <cfRule type="colorScale" priority="1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conditionalFormatting sqref="O10:O170">
    <cfRule type="expression" dxfId="5" priority="2">
      <formula>$O10&lt;&gt;"OK"</formula>
    </cfRule>
  </conditionalFormatting>
  <conditionalFormatting sqref="O10:O22">
    <cfRule type="expression" dxfId="5" priority="3">
      <formula>$O10&lt;&gt;"OK"</formula>
    </cfRule>
  </conditionalFormatting>
  <conditionalFormatting sqref="O10:O22">
    <cfRule type="expression" dxfId="5" priority="4">
      <formula>$O10&lt;&gt;"OK"</formula>
    </cfRule>
  </conditionalFormatting>
  <conditionalFormatting sqref="O10:O22">
    <cfRule type="expression" dxfId="5" priority="5">
      <formula>$O10&lt;&gt;"OK"</formula>
    </cfRule>
  </conditionalFormatting>
  <conditionalFormatting sqref="O2:O22">
    <cfRule type="expression" dxfId="5" priority="6">
      <formula>$O2&lt;&gt;"OK"</formula>
    </cfRule>
  </conditionalFormatting>
  <conditionalFormatting sqref="E9">
    <cfRule type="colorScale" priority="7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conditionalFormatting sqref="P1:P1000 J2:J174">
    <cfRule type="notContainsBlanks" dxfId="6" priority="8">
      <formula>LEN(TRIM(P1))&gt;0</formula>
    </cfRule>
  </conditionalFormatting>
  <dataValidations>
    <dataValidation type="list" allowBlank="1" sqref="L2:L174">
      <formula1>"USD_99,EUR_99,GBP_99,CAD_99,AUD_99,PLN_99,TRY_TIERS,INR_TIERS,BRL_90,IDR_000,JPY_00,KRW_000,VND_000,MXN_00,THB_00"</formula1>
    </dataValidation>
    <dataValidation type="list" allowBlank="1" sqref="L175:L254">
      <formula1>"USD_99,EUR_99,GBP_99,CAD_99,AUD_99,PLN_99,TRY_TIERS,INR_TIERS,BRL_90,IDR_000,JPY_00,KRW_000,VND_000,MXN_00,THB_00"</formula1>
    </dataValidation>
    <dataValidation type="custom" allowBlank="1" showDropDown="1" sqref="E2:E174 G2:K174 M2:N174 P2:P174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1.63"/>
  </cols>
  <sheetData>
    <row r="1">
      <c r="A1" s="32" t="s">
        <v>690</v>
      </c>
      <c r="B1" s="32" t="s">
        <v>22</v>
      </c>
      <c r="C1" s="32" t="s">
        <v>26</v>
      </c>
      <c r="D1" s="32" t="s">
        <v>30</v>
      </c>
      <c r="E1" s="32" t="s">
        <v>57</v>
      </c>
      <c r="F1" s="33" t="s">
        <v>690</v>
      </c>
      <c r="G1" s="33" t="s">
        <v>691</v>
      </c>
    </row>
    <row r="2">
      <c r="A2" s="34" t="s">
        <v>86</v>
      </c>
      <c r="B2" s="35" t="s">
        <v>91</v>
      </c>
      <c r="C2" s="35" t="s">
        <v>74</v>
      </c>
      <c r="D2" s="35" t="s">
        <v>107</v>
      </c>
      <c r="E2" s="35" t="s">
        <v>692</v>
      </c>
      <c r="F2" s="33" t="s">
        <v>22</v>
      </c>
      <c r="G2" s="33" t="s">
        <v>693</v>
      </c>
    </row>
    <row r="3">
      <c r="A3" s="34" t="s">
        <v>160</v>
      </c>
      <c r="B3" s="35" t="s">
        <v>114</v>
      </c>
      <c r="C3" s="35" t="s">
        <v>138</v>
      </c>
      <c r="D3" s="35" t="s">
        <v>694</v>
      </c>
      <c r="E3" s="35" t="s">
        <v>172</v>
      </c>
      <c r="F3" s="33" t="s">
        <v>26</v>
      </c>
      <c r="G3" s="33" t="s">
        <v>695</v>
      </c>
    </row>
    <row r="4">
      <c r="A4" s="34" t="s">
        <v>210</v>
      </c>
      <c r="B4" s="35" t="s">
        <v>696</v>
      </c>
      <c r="C4" s="35" t="s">
        <v>175</v>
      </c>
      <c r="D4" s="35" t="s">
        <v>306</v>
      </c>
      <c r="E4" s="35" t="s">
        <v>235</v>
      </c>
      <c r="F4" s="33" t="s">
        <v>30</v>
      </c>
      <c r="G4" s="33" t="s">
        <v>697</v>
      </c>
    </row>
    <row r="5">
      <c r="A5" s="34" t="s">
        <v>248</v>
      </c>
      <c r="B5" s="35" t="s">
        <v>245</v>
      </c>
      <c r="C5" s="35" t="s">
        <v>179</v>
      </c>
      <c r="D5" s="35" t="s">
        <v>312</v>
      </c>
      <c r="E5" s="35" t="s">
        <v>370</v>
      </c>
      <c r="F5" s="33" t="s">
        <v>57</v>
      </c>
      <c r="G5" s="33" t="s">
        <v>698</v>
      </c>
    </row>
    <row r="6">
      <c r="A6" s="34" t="s">
        <v>261</v>
      </c>
      <c r="B6" s="35" t="s">
        <v>321</v>
      </c>
      <c r="C6" s="35" t="s">
        <v>699</v>
      </c>
      <c r="D6" s="35" t="s">
        <v>459</v>
      </c>
      <c r="E6" s="35" t="s">
        <v>456</v>
      </c>
    </row>
    <row r="7">
      <c r="A7" s="34" t="s">
        <v>335</v>
      </c>
      <c r="B7" s="35" t="s">
        <v>324</v>
      </c>
      <c r="C7" s="35" t="s">
        <v>700</v>
      </c>
      <c r="D7" s="35" t="s">
        <v>470</v>
      </c>
      <c r="E7" s="35" t="s">
        <v>545</v>
      </c>
    </row>
    <row r="8">
      <c r="A8" s="34" t="s">
        <v>701</v>
      </c>
      <c r="B8" s="35" t="s">
        <v>328</v>
      </c>
      <c r="C8" s="35" t="s">
        <v>407</v>
      </c>
      <c r="D8" s="35" t="s">
        <v>702</v>
      </c>
      <c r="E8" s="35" t="s">
        <v>703</v>
      </c>
    </row>
    <row r="9">
      <c r="A9" s="34" t="s">
        <v>704</v>
      </c>
      <c r="B9" s="35" t="s">
        <v>492</v>
      </c>
      <c r="C9" s="35" t="s">
        <v>705</v>
      </c>
      <c r="D9" s="35" t="s">
        <v>672</v>
      </c>
    </row>
    <row r="10">
      <c r="A10" s="34" t="s">
        <v>706</v>
      </c>
      <c r="B10" s="35" t="s">
        <v>707</v>
      </c>
      <c r="C10" s="35" t="s">
        <v>568</v>
      </c>
    </row>
    <row r="11">
      <c r="A11" s="34" t="s">
        <v>708</v>
      </c>
      <c r="B11" s="35" t="s">
        <v>709</v>
      </c>
      <c r="C11" s="35" t="s">
        <v>607</v>
      </c>
    </row>
    <row r="12">
      <c r="A12" s="34" t="s">
        <v>572</v>
      </c>
      <c r="B12" s="35" t="s">
        <v>577</v>
      </c>
      <c r="C12" s="35" t="s">
        <v>710</v>
      </c>
    </row>
    <row r="13">
      <c r="A13" s="34" t="s">
        <v>711</v>
      </c>
      <c r="B13" s="35" t="s">
        <v>712</v>
      </c>
    </row>
    <row r="14">
      <c r="A14" s="34" t="s">
        <v>713</v>
      </c>
    </row>
    <row r="15">
      <c r="A15" s="34" t="s">
        <v>714</v>
      </c>
    </row>
    <row r="16">
      <c r="A16" s="34" t="s">
        <v>715</v>
      </c>
    </row>
    <row r="17">
      <c r="A17" s="34" t="s">
        <v>716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6.0"/>
    <col customWidth="1" min="11" max="11" width="16.5"/>
  </cols>
  <sheetData>
    <row r="1" ht="22.5" customHeight="1">
      <c r="A1" s="36"/>
      <c r="B1" s="36"/>
      <c r="C1" s="36"/>
      <c r="D1" s="11" t="s">
        <v>41</v>
      </c>
      <c r="E1" s="32" t="s">
        <v>717</v>
      </c>
      <c r="F1" s="32" t="s">
        <v>718</v>
      </c>
      <c r="G1" s="32" t="s">
        <v>719</v>
      </c>
      <c r="H1" s="32" t="s">
        <v>720</v>
      </c>
      <c r="I1" s="32" t="s">
        <v>721</v>
      </c>
      <c r="J1" s="32" t="s">
        <v>722</v>
      </c>
      <c r="K1" s="32" t="s">
        <v>723</v>
      </c>
      <c r="L1" s="37" t="s">
        <v>724</v>
      </c>
      <c r="M1" s="32" t="s">
        <v>725</v>
      </c>
    </row>
    <row r="2" ht="22.5" customHeight="1">
      <c r="A2" s="33" t="s">
        <v>53</v>
      </c>
      <c r="B2" s="33" t="s">
        <v>54</v>
      </c>
      <c r="C2" s="33" t="s">
        <v>55</v>
      </c>
      <c r="D2" s="12" t="s">
        <v>56</v>
      </c>
      <c r="E2" s="38">
        <v>0.35</v>
      </c>
      <c r="F2" s="39" t="s">
        <v>57</v>
      </c>
      <c r="G2" s="34">
        <v>3.0</v>
      </c>
      <c r="H2" s="34">
        <v>1.49</v>
      </c>
      <c r="I2" s="31">
        <f t="shared" ref="I2:I174" si="1">IF(F2="S",1,IF(F2="A",0.8,IF(F2="B",0.55,IF(F2="C",0.3,IF(F2="D",0.25,0.25)))))</f>
        <v>0.25</v>
      </c>
      <c r="J2" s="40">
        <f t="shared" ref="J2:J174" si="2">MAX(H2,G2*I2)</f>
        <v>1.49</v>
      </c>
      <c r="K2" s="40">
        <f>IFERROR(__xludf.DUMMYFUNCTION("GOOGLEFINANCE(""CURRENCY:USDALL"")"),81.26480000000001)</f>
        <v>81.2648</v>
      </c>
      <c r="L2" s="41">
        <f t="shared" ref="L2:L174" si="3">J2*K2</f>
        <v>121.084552</v>
      </c>
      <c r="M2" s="42">
        <v>119.0</v>
      </c>
    </row>
    <row r="3" ht="22.5" customHeight="1">
      <c r="A3" s="33" t="s">
        <v>59</v>
      </c>
      <c r="B3" s="33" t="s">
        <v>60</v>
      </c>
      <c r="C3" s="33" t="s">
        <v>61</v>
      </c>
      <c r="D3" s="12" t="s">
        <v>62</v>
      </c>
      <c r="E3" s="38">
        <v>0.28</v>
      </c>
      <c r="F3" s="39" t="s">
        <v>57</v>
      </c>
      <c r="G3" s="34">
        <v>3.0</v>
      </c>
      <c r="H3" s="34">
        <v>1.49</v>
      </c>
      <c r="I3" s="31">
        <f t="shared" si="1"/>
        <v>0.25</v>
      </c>
      <c r="J3" s="40">
        <f t="shared" si="2"/>
        <v>1.49</v>
      </c>
      <c r="K3" s="40">
        <f>IFERROR(__xludf.DUMMYFUNCTION("GOOGLEFINANCE(""CURRENCY:USDDZD"")"),132.3826)</f>
        <v>132.3826</v>
      </c>
      <c r="L3" s="41">
        <f t="shared" si="3"/>
        <v>197.250074</v>
      </c>
      <c r="M3" s="42">
        <v>189.0</v>
      </c>
    </row>
    <row r="4" ht="22.5" customHeight="1">
      <c r="A4" s="33" t="s">
        <v>63</v>
      </c>
      <c r="B4" s="33" t="s">
        <v>63</v>
      </c>
      <c r="C4" s="33" t="s">
        <v>64</v>
      </c>
      <c r="D4" s="12" t="s">
        <v>65</v>
      </c>
      <c r="E4" s="38">
        <v>0.22</v>
      </c>
      <c r="F4" s="39" t="s">
        <v>57</v>
      </c>
      <c r="G4" s="34">
        <v>3.0</v>
      </c>
      <c r="H4" s="34">
        <v>1.49</v>
      </c>
      <c r="I4" s="31">
        <f t="shared" si="1"/>
        <v>0.25</v>
      </c>
      <c r="J4" s="40">
        <f t="shared" si="2"/>
        <v>1.49</v>
      </c>
      <c r="K4" s="40">
        <f>IFERROR(__xludf.DUMMYFUNCTION("GOOGLEFINANCE(""CURRENCY:USDAOA"")"),918.0)</f>
        <v>918</v>
      </c>
      <c r="L4" s="41">
        <f t="shared" si="3"/>
        <v>1367.82</v>
      </c>
      <c r="M4" s="42">
        <v>1290.0</v>
      </c>
    </row>
    <row r="5" ht="22.5" customHeight="1">
      <c r="A5" s="33" t="s">
        <v>68</v>
      </c>
      <c r="B5" s="33" t="s">
        <v>69</v>
      </c>
      <c r="C5" s="33" t="s">
        <v>70</v>
      </c>
      <c r="D5" s="12" t="s">
        <v>71</v>
      </c>
      <c r="E5" s="38">
        <v>0.65</v>
      </c>
      <c r="F5" s="39" t="s">
        <v>26</v>
      </c>
      <c r="G5" s="34">
        <v>3.0</v>
      </c>
      <c r="H5" s="34">
        <v>1.49</v>
      </c>
      <c r="I5" s="31">
        <f t="shared" si="1"/>
        <v>0.55</v>
      </c>
      <c r="J5" s="40">
        <f t="shared" si="2"/>
        <v>1.65</v>
      </c>
      <c r="K5" s="40">
        <f>IFERROR(__xludf.DUMMYFUNCTION("GOOGLEFINANCE(""CURRENCY:USDXCD"")"),2.70255)</f>
        <v>2.70255</v>
      </c>
      <c r="L5" s="41">
        <f t="shared" si="3"/>
        <v>4.4592075</v>
      </c>
      <c r="M5" s="42">
        <v>3.9</v>
      </c>
    </row>
    <row r="6" ht="22.5" customHeight="1">
      <c r="A6" s="33" t="s">
        <v>73</v>
      </c>
      <c r="B6" s="33" t="s">
        <v>74</v>
      </c>
      <c r="C6" s="33" t="s">
        <v>75</v>
      </c>
      <c r="D6" s="12" t="s">
        <v>76</v>
      </c>
      <c r="E6" s="38">
        <v>0.3</v>
      </c>
      <c r="F6" s="39" t="s">
        <v>26</v>
      </c>
      <c r="G6" s="34">
        <v>3.0</v>
      </c>
      <c r="H6" s="34">
        <v>1.49</v>
      </c>
      <c r="I6" s="31">
        <f t="shared" si="1"/>
        <v>0.55</v>
      </c>
      <c r="J6" s="40">
        <f t="shared" si="2"/>
        <v>1.65</v>
      </c>
      <c r="K6" s="40">
        <f>IFERROR(__xludf.DUMMYFUNCTION("GOOGLEFINANCE(""CURRENCY:USDARS"")"),1385.0)</f>
        <v>1385</v>
      </c>
      <c r="L6" s="41">
        <f t="shared" si="3"/>
        <v>2285.25</v>
      </c>
      <c r="M6" s="42">
        <v>1990.0</v>
      </c>
    </row>
    <row r="7" ht="22.5" customHeight="1">
      <c r="A7" s="33" t="s">
        <v>77</v>
      </c>
      <c r="B7" s="33" t="s">
        <v>78</v>
      </c>
      <c r="C7" s="33" t="s">
        <v>79</v>
      </c>
      <c r="D7" s="12" t="s">
        <v>80</v>
      </c>
      <c r="E7" s="38">
        <v>0.3</v>
      </c>
      <c r="F7" s="39" t="s">
        <v>57</v>
      </c>
      <c r="G7" s="34">
        <v>3.0</v>
      </c>
      <c r="H7" s="34">
        <v>1.49</v>
      </c>
      <c r="I7" s="31">
        <f t="shared" si="1"/>
        <v>0.25</v>
      </c>
      <c r="J7" s="40">
        <f t="shared" si="2"/>
        <v>1.49</v>
      </c>
      <c r="K7" s="40">
        <f>IFERROR(__xludf.DUMMYFUNCTION("GOOGLEFINANCE(""CURRENCY:USDAMD"")"),368.0783)</f>
        <v>368.0783</v>
      </c>
      <c r="L7" s="41">
        <f t="shared" si="3"/>
        <v>548.436667</v>
      </c>
      <c r="M7" s="42">
        <v>539.0</v>
      </c>
    </row>
    <row r="8" ht="22.5" customHeight="1">
      <c r="A8" s="33" t="s">
        <v>81</v>
      </c>
      <c r="B8" s="33" t="s">
        <v>81</v>
      </c>
      <c r="C8" s="33" t="s">
        <v>82</v>
      </c>
      <c r="D8" s="12" t="s">
        <v>83</v>
      </c>
      <c r="E8" s="38">
        <v>0.75</v>
      </c>
      <c r="F8" s="39" t="s">
        <v>22</v>
      </c>
      <c r="G8" s="34">
        <v>3.0</v>
      </c>
      <c r="H8" s="34">
        <v>1.49</v>
      </c>
      <c r="I8" s="31">
        <f t="shared" si="1"/>
        <v>0.8</v>
      </c>
      <c r="J8" s="40">
        <f t="shared" si="2"/>
        <v>2.4</v>
      </c>
      <c r="K8" s="40">
        <f>IFERROR(__xludf.DUMMYFUNCTION("GOOGLEFINANCE(""CURRENCY:USDAWG"")"),1.8025)</f>
        <v>1.8025</v>
      </c>
      <c r="L8" s="41">
        <f t="shared" si="3"/>
        <v>4.326</v>
      </c>
      <c r="M8" s="42">
        <v>3.9</v>
      </c>
    </row>
    <row r="9" ht="22.5" customHeight="1">
      <c r="A9" s="33" t="s">
        <v>85</v>
      </c>
      <c r="B9" s="33" t="s">
        <v>86</v>
      </c>
      <c r="C9" s="33" t="s">
        <v>87</v>
      </c>
      <c r="D9" s="17" t="s">
        <v>88</v>
      </c>
      <c r="E9" s="38">
        <v>0.95</v>
      </c>
      <c r="F9" s="39" t="s">
        <v>690</v>
      </c>
      <c r="G9" s="34">
        <v>3.0</v>
      </c>
      <c r="H9" s="34">
        <v>1.49</v>
      </c>
      <c r="I9" s="31">
        <f t="shared" si="1"/>
        <v>1</v>
      </c>
      <c r="J9" s="40">
        <f t="shared" si="2"/>
        <v>3</v>
      </c>
      <c r="K9" s="43">
        <f>IFERROR(__xludf.DUMMYFUNCTION("GOOGLEFINANCE(""CURRENCY:USDAUD"")"),1.381082)</f>
        <v>1.381082</v>
      </c>
      <c r="L9" s="41">
        <f t="shared" si="3"/>
        <v>4.143246</v>
      </c>
      <c r="M9" s="42">
        <v>3.9</v>
      </c>
    </row>
    <row r="10" ht="22.5" customHeight="1">
      <c r="A10" s="33" t="s">
        <v>90</v>
      </c>
      <c r="B10" s="33" t="s">
        <v>91</v>
      </c>
      <c r="C10" s="33" t="s">
        <v>92</v>
      </c>
      <c r="D10" s="12" t="s">
        <v>93</v>
      </c>
      <c r="E10" s="38">
        <v>0.86</v>
      </c>
      <c r="F10" s="39" t="s">
        <v>22</v>
      </c>
      <c r="G10" s="34">
        <v>3.0</v>
      </c>
      <c r="H10" s="34">
        <v>1.49</v>
      </c>
      <c r="I10" s="31">
        <f t="shared" si="1"/>
        <v>0.8</v>
      </c>
      <c r="J10" s="40">
        <f t="shared" si="2"/>
        <v>2.4</v>
      </c>
      <c r="K10" s="40">
        <f>IFERROR(__xludf.DUMMYFUNCTION("GOOGLEFINANCE(""CURRENCY:USDEUR"")"),0.8519)</f>
        <v>0.8519</v>
      </c>
      <c r="L10" s="41">
        <f t="shared" si="3"/>
        <v>2.04456</v>
      </c>
      <c r="M10" s="42">
        <v>1.9</v>
      </c>
    </row>
    <row r="11" ht="22.5" customHeight="1">
      <c r="A11" s="33" t="s">
        <v>94</v>
      </c>
      <c r="B11" s="33" t="s">
        <v>95</v>
      </c>
      <c r="C11" s="33" t="s">
        <v>96</v>
      </c>
      <c r="D11" s="12" t="s">
        <v>97</v>
      </c>
      <c r="E11" s="38">
        <v>0.4</v>
      </c>
      <c r="F11" s="39" t="s">
        <v>26</v>
      </c>
      <c r="G11" s="34">
        <v>3.0</v>
      </c>
      <c r="H11" s="34">
        <v>1.49</v>
      </c>
      <c r="I11" s="31">
        <f t="shared" si="1"/>
        <v>0.55</v>
      </c>
      <c r="J11" s="40">
        <f t="shared" si="2"/>
        <v>1.65</v>
      </c>
      <c r="K11" s="40">
        <f>IFERROR(__xludf.DUMMYFUNCTION("GOOGLEFINANCE(""CURRENCY:USDAZN"")"),1.7)</f>
        <v>1.7</v>
      </c>
      <c r="L11" s="41">
        <f t="shared" si="3"/>
        <v>2.805</v>
      </c>
      <c r="M11" s="42">
        <v>2.49</v>
      </c>
    </row>
    <row r="12" ht="22.5" customHeight="1">
      <c r="A12" s="33" t="s">
        <v>98</v>
      </c>
      <c r="B12" s="33" t="s">
        <v>99</v>
      </c>
      <c r="C12" s="33" t="s">
        <v>100</v>
      </c>
      <c r="D12" s="12" t="s">
        <v>101</v>
      </c>
      <c r="E12" s="38">
        <v>0.75</v>
      </c>
      <c r="F12" s="39" t="s">
        <v>22</v>
      </c>
      <c r="G12" s="34">
        <v>3.0</v>
      </c>
      <c r="H12" s="34">
        <v>1.49</v>
      </c>
      <c r="I12" s="31">
        <f t="shared" si="1"/>
        <v>0.8</v>
      </c>
      <c r="J12" s="40">
        <f t="shared" si="2"/>
        <v>2.4</v>
      </c>
      <c r="K12" s="40">
        <f>IFERROR(__xludf.DUMMYFUNCTION("GOOGLEFINANCE(""CURRENCY:USDBSD"")"),1.000136)</f>
        <v>1.000136</v>
      </c>
      <c r="L12" s="41">
        <f t="shared" si="3"/>
        <v>2.4003264</v>
      </c>
      <c r="M12" s="42">
        <v>2.39</v>
      </c>
    </row>
    <row r="13" ht="22.5" customHeight="1">
      <c r="A13" s="33" t="s">
        <v>102</v>
      </c>
      <c r="B13" s="33" t="s">
        <v>103</v>
      </c>
      <c r="C13" s="33" t="s">
        <v>104</v>
      </c>
      <c r="D13" s="12" t="s">
        <v>105</v>
      </c>
      <c r="E13" s="38">
        <v>0.85</v>
      </c>
      <c r="F13" s="39" t="s">
        <v>22</v>
      </c>
      <c r="G13" s="34">
        <v>3.0</v>
      </c>
      <c r="H13" s="34">
        <v>1.49</v>
      </c>
      <c r="I13" s="31">
        <f t="shared" si="1"/>
        <v>0.8</v>
      </c>
      <c r="J13" s="40">
        <f t="shared" si="2"/>
        <v>2.4</v>
      </c>
      <c r="K13" s="40">
        <f>IFERROR(__xludf.DUMMYFUNCTION("GOOGLEFINANCE(""CURRENCY:USDBHD"")"),0.3774469)</f>
        <v>0.3774469</v>
      </c>
      <c r="L13" s="41">
        <f t="shared" si="3"/>
        <v>0.90587256</v>
      </c>
      <c r="M13" s="42">
        <v>0.89</v>
      </c>
    </row>
    <row r="14" ht="22.5" customHeight="1">
      <c r="A14" s="33" t="s">
        <v>106</v>
      </c>
      <c r="B14" s="33" t="s">
        <v>107</v>
      </c>
      <c r="C14" s="33" t="s">
        <v>108</v>
      </c>
      <c r="D14" s="12" t="s">
        <v>109</v>
      </c>
      <c r="E14" s="38">
        <v>0.15</v>
      </c>
      <c r="F14" s="39" t="s">
        <v>30</v>
      </c>
      <c r="G14" s="34">
        <v>3.0</v>
      </c>
      <c r="H14" s="34">
        <v>1.49</v>
      </c>
      <c r="I14" s="31">
        <f t="shared" si="1"/>
        <v>0.3</v>
      </c>
      <c r="J14" s="40">
        <f t="shared" si="2"/>
        <v>1.49</v>
      </c>
      <c r="K14" s="40">
        <f>IFERROR(__xludf.DUMMYFUNCTION("GOOGLEFINANCE(""CURRENCY:USDBDT"")"),122.9364)</f>
        <v>122.9364</v>
      </c>
      <c r="L14" s="41">
        <f t="shared" si="3"/>
        <v>183.175236</v>
      </c>
      <c r="M14" s="42">
        <v>179.0</v>
      </c>
    </row>
    <row r="15" ht="22.5" customHeight="1">
      <c r="A15" s="33" t="s">
        <v>110</v>
      </c>
      <c r="B15" s="33" t="s">
        <v>110</v>
      </c>
      <c r="C15" s="33" t="s">
        <v>111</v>
      </c>
      <c r="D15" s="12" t="s">
        <v>112</v>
      </c>
      <c r="E15" s="38">
        <v>0.4</v>
      </c>
      <c r="F15" s="39" t="s">
        <v>26</v>
      </c>
      <c r="G15" s="34">
        <v>3.0</v>
      </c>
      <c r="H15" s="34">
        <v>1.49</v>
      </c>
      <c r="I15" s="31">
        <f t="shared" si="1"/>
        <v>0.55</v>
      </c>
      <c r="J15" s="40">
        <f t="shared" si="2"/>
        <v>1.65</v>
      </c>
      <c r="K15" s="40">
        <f>IFERROR(__xludf.DUMMYFUNCTION("GOOGLEFINANCE(""CURRENCY:USDBYN"")"),2.7962249999999997)</f>
        <v>2.796225</v>
      </c>
      <c r="L15" s="41">
        <f t="shared" si="3"/>
        <v>4.61377125</v>
      </c>
      <c r="M15" s="42">
        <v>3.9</v>
      </c>
    </row>
    <row r="16" ht="22.5" customHeight="1">
      <c r="A16" s="33" t="s">
        <v>113</v>
      </c>
      <c r="B16" s="33" t="s">
        <v>114</v>
      </c>
      <c r="C16" s="33" t="s">
        <v>115</v>
      </c>
      <c r="D16" s="12" t="s">
        <v>93</v>
      </c>
      <c r="E16" s="38">
        <v>0.84</v>
      </c>
      <c r="F16" s="39" t="s">
        <v>22</v>
      </c>
      <c r="G16" s="34">
        <v>3.0</v>
      </c>
      <c r="H16" s="34">
        <v>1.49</v>
      </c>
      <c r="I16" s="31">
        <f t="shared" si="1"/>
        <v>0.8</v>
      </c>
      <c r="J16" s="40">
        <f t="shared" si="2"/>
        <v>2.4</v>
      </c>
      <c r="K16" s="40">
        <f>IFERROR(__xludf.DUMMYFUNCTION("GOOGLEFINANCE(""CURRENCY:USDEUR"")"),0.8519)</f>
        <v>0.8519</v>
      </c>
      <c r="L16" s="41">
        <f t="shared" si="3"/>
        <v>2.04456</v>
      </c>
      <c r="M16" s="42">
        <v>1.9</v>
      </c>
    </row>
    <row r="17" ht="22.5" customHeight="1">
      <c r="A17" s="33" t="s">
        <v>116</v>
      </c>
      <c r="B17" s="33" t="s">
        <v>116</v>
      </c>
      <c r="C17" s="33" t="s">
        <v>117</v>
      </c>
      <c r="D17" s="12" t="s">
        <v>118</v>
      </c>
      <c r="E17" s="38">
        <v>0.35</v>
      </c>
      <c r="F17" s="39" t="s">
        <v>30</v>
      </c>
      <c r="G17" s="34">
        <v>3.0</v>
      </c>
      <c r="H17" s="34">
        <v>1.49</v>
      </c>
      <c r="I17" s="31">
        <f t="shared" si="1"/>
        <v>0.3</v>
      </c>
      <c r="J17" s="40">
        <f t="shared" si="2"/>
        <v>1.49</v>
      </c>
      <c r="K17" s="40">
        <f>IFERROR(__xludf.DUMMYFUNCTION("GOOGLEFINANCE(""CURRENCY:USDBZD"")"),2.011432)</f>
        <v>2.011432</v>
      </c>
      <c r="L17" s="41">
        <f t="shared" si="3"/>
        <v>2.99703368</v>
      </c>
      <c r="M17" s="42">
        <v>2.9</v>
      </c>
    </row>
    <row r="18" ht="22.5" customHeight="1">
      <c r="A18" s="33" t="s">
        <v>119</v>
      </c>
      <c r="B18" s="33" t="s">
        <v>119</v>
      </c>
      <c r="C18" s="33" t="s">
        <v>120</v>
      </c>
      <c r="D18" s="12" t="s">
        <v>121</v>
      </c>
      <c r="E18" s="38">
        <v>0.18</v>
      </c>
      <c r="F18" s="39" t="s">
        <v>57</v>
      </c>
      <c r="G18" s="34">
        <v>3.0</v>
      </c>
      <c r="H18" s="34">
        <v>1.49</v>
      </c>
      <c r="I18" s="31">
        <f t="shared" si="1"/>
        <v>0.25</v>
      </c>
      <c r="J18" s="40">
        <f t="shared" si="2"/>
        <v>1.49</v>
      </c>
      <c r="K18" s="40">
        <f>IFERROR(__xludf.DUMMYFUNCTION("GOOGLEFINANCE(""CURRENCY:USDXOF"")"),558.7654)</f>
        <v>558.7654</v>
      </c>
      <c r="L18" s="41">
        <f t="shared" si="3"/>
        <v>832.560446</v>
      </c>
      <c r="M18" s="42">
        <v>790.0</v>
      </c>
    </row>
    <row r="19" ht="22.5" customHeight="1">
      <c r="A19" s="33" t="s">
        <v>122</v>
      </c>
      <c r="B19" s="33" t="s">
        <v>122</v>
      </c>
      <c r="C19" s="33" t="s">
        <v>123</v>
      </c>
      <c r="D19" s="12" t="s">
        <v>124</v>
      </c>
      <c r="E19" s="38">
        <v>1.0</v>
      </c>
      <c r="F19" s="39" t="s">
        <v>22</v>
      </c>
      <c r="G19" s="34">
        <v>3.0</v>
      </c>
      <c r="H19" s="34">
        <v>1.49</v>
      </c>
      <c r="I19" s="31">
        <f t="shared" si="1"/>
        <v>0.8</v>
      </c>
      <c r="J19" s="40">
        <f t="shared" si="2"/>
        <v>2.4</v>
      </c>
      <c r="K19" s="40">
        <f>IFERROR(__xludf.DUMMYFUNCTION("GOOGLEFINANCE(""CURRENCY:USDBMD"")"),1.0)</f>
        <v>1</v>
      </c>
      <c r="L19" s="41">
        <f t="shared" si="3"/>
        <v>2.4</v>
      </c>
      <c r="M19" s="42">
        <v>2.39</v>
      </c>
    </row>
    <row r="20" ht="22.5" customHeight="1">
      <c r="A20" s="33" t="s">
        <v>125</v>
      </c>
      <c r="B20" s="33" t="s">
        <v>126</v>
      </c>
      <c r="C20" s="33" t="s">
        <v>127</v>
      </c>
      <c r="D20" s="12" t="s">
        <v>128</v>
      </c>
      <c r="E20" s="38">
        <v>0.3</v>
      </c>
      <c r="F20" s="39" t="s">
        <v>57</v>
      </c>
      <c r="G20" s="34">
        <v>3.0</v>
      </c>
      <c r="H20" s="34">
        <v>1.49</v>
      </c>
      <c r="I20" s="31">
        <f t="shared" si="1"/>
        <v>0.25</v>
      </c>
      <c r="J20" s="40">
        <f t="shared" si="2"/>
        <v>1.49</v>
      </c>
      <c r="K20" s="40">
        <f>IFERROR(__xludf.DUMMYFUNCTION("GOOGLEFINANCE(""CURRENCY:USDBOB"")"),6.910945)</f>
        <v>6.910945</v>
      </c>
      <c r="L20" s="41">
        <f t="shared" si="3"/>
        <v>10.29730805</v>
      </c>
      <c r="M20" s="42">
        <v>9.9</v>
      </c>
    </row>
    <row r="21" ht="22.5" customHeight="1">
      <c r="A21" s="33" t="s">
        <v>129</v>
      </c>
      <c r="B21" s="33" t="s">
        <v>726</v>
      </c>
      <c r="C21" s="33" t="s">
        <v>131</v>
      </c>
      <c r="D21" s="12" t="s">
        <v>132</v>
      </c>
      <c r="E21" s="38">
        <v>0.45</v>
      </c>
      <c r="F21" s="39" t="s">
        <v>26</v>
      </c>
      <c r="G21" s="34">
        <v>3.0</v>
      </c>
      <c r="H21" s="34">
        <v>1.49</v>
      </c>
      <c r="I21" s="31">
        <f t="shared" si="1"/>
        <v>0.55</v>
      </c>
      <c r="J21" s="40">
        <f t="shared" si="2"/>
        <v>1.65</v>
      </c>
      <c r="K21" s="40">
        <f>IFERROR(__xludf.DUMMYFUNCTION("GOOGLEFINANCE(""CURRENCY:USDBAM"")"),1.6660139999999999)</f>
        <v>1.666014</v>
      </c>
      <c r="L21" s="41">
        <f t="shared" si="3"/>
        <v>2.7489231</v>
      </c>
      <c r="M21" s="42">
        <v>2.49</v>
      </c>
    </row>
    <row r="22" ht="22.5" customHeight="1">
      <c r="A22" s="33" t="s">
        <v>133</v>
      </c>
      <c r="B22" s="33" t="s">
        <v>134</v>
      </c>
      <c r="C22" s="33" t="s">
        <v>135</v>
      </c>
      <c r="D22" s="12" t="s">
        <v>136</v>
      </c>
      <c r="E22" s="38">
        <v>0.4</v>
      </c>
      <c r="F22" s="39" t="s">
        <v>26</v>
      </c>
      <c r="G22" s="34">
        <v>3.0</v>
      </c>
      <c r="H22" s="34">
        <v>1.49</v>
      </c>
      <c r="I22" s="31">
        <f t="shared" si="1"/>
        <v>0.55</v>
      </c>
      <c r="J22" s="40">
        <f t="shared" si="2"/>
        <v>1.65</v>
      </c>
      <c r="K22" s="40">
        <f>IFERROR(__xludf.DUMMYFUNCTION("GOOGLEFINANCE(""CURRENCY:USDBWP"")"),13.49984)</f>
        <v>13.49984</v>
      </c>
      <c r="L22" s="41">
        <f t="shared" si="3"/>
        <v>22.274736</v>
      </c>
      <c r="M22" s="42">
        <v>19.9</v>
      </c>
    </row>
    <row r="23" ht="22.5" customHeight="1">
      <c r="A23" s="33" t="s">
        <v>137</v>
      </c>
      <c r="B23" s="33" t="s">
        <v>138</v>
      </c>
      <c r="C23" s="33" t="s">
        <v>139</v>
      </c>
      <c r="D23" s="17" t="s">
        <v>140</v>
      </c>
      <c r="E23" s="38">
        <v>0.35</v>
      </c>
      <c r="F23" s="39" t="s">
        <v>26</v>
      </c>
      <c r="G23" s="34">
        <v>3.0</v>
      </c>
      <c r="H23" s="34">
        <v>1.49</v>
      </c>
      <c r="I23" s="31">
        <f t="shared" si="1"/>
        <v>0.55</v>
      </c>
      <c r="J23" s="40">
        <f t="shared" si="2"/>
        <v>1.65</v>
      </c>
      <c r="K23" s="43">
        <f>IFERROR(__xludf.DUMMYFUNCTION("GOOGLEFINANCE(""CURRENCY:USDBRL"")"),4.9113)</f>
        <v>4.9113</v>
      </c>
      <c r="L23" s="41">
        <f t="shared" si="3"/>
        <v>8.103645</v>
      </c>
      <c r="M23" s="42">
        <v>7.9</v>
      </c>
    </row>
    <row r="24" ht="22.5" customHeight="1">
      <c r="A24" s="33" t="s">
        <v>142</v>
      </c>
      <c r="B24" s="33" t="s">
        <v>143</v>
      </c>
      <c r="C24" s="33" t="s">
        <v>144</v>
      </c>
      <c r="D24" s="12" t="s">
        <v>145</v>
      </c>
      <c r="E24" s="38">
        <v>0.4</v>
      </c>
      <c r="F24" s="39" t="s">
        <v>26</v>
      </c>
      <c r="G24" s="34">
        <v>3.0</v>
      </c>
      <c r="H24" s="34">
        <v>1.49</v>
      </c>
      <c r="I24" s="31">
        <f t="shared" si="1"/>
        <v>0.55</v>
      </c>
      <c r="J24" s="40">
        <f t="shared" si="2"/>
        <v>1.65</v>
      </c>
      <c r="K24" s="40" t="str">
        <f>IFERROR(__xludf.DUMMYFUNCTION("GOOGLEFINANCE(""CURRENCY:USDBGN"")"),"#N/A")</f>
        <v>#N/A</v>
      </c>
      <c r="L24" s="41" t="str">
        <f t="shared" si="3"/>
        <v>#N/A</v>
      </c>
      <c r="M24" s="44"/>
    </row>
    <row r="25" ht="22.5" customHeight="1">
      <c r="A25" s="33" t="s">
        <v>146</v>
      </c>
      <c r="B25" s="33" t="s">
        <v>146</v>
      </c>
      <c r="C25" s="33" t="s">
        <v>147</v>
      </c>
      <c r="D25" s="12" t="s">
        <v>121</v>
      </c>
      <c r="E25" s="38">
        <v>0.18</v>
      </c>
      <c r="F25" s="39" t="s">
        <v>57</v>
      </c>
      <c r="G25" s="34">
        <v>3.0</v>
      </c>
      <c r="H25" s="34">
        <v>1.49</v>
      </c>
      <c r="I25" s="31">
        <f t="shared" si="1"/>
        <v>0.25</v>
      </c>
      <c r="J25" s="40">
        <f t="shared" si="2"/>
        <v>1.49</v>
      </c>
      <c r="K25" s="40">
        <f>IFERROR(__xludf.DUMMYFUNCTION("GOOGLEFINANCE(""CURRENCY:USDXOF"")"),558.7654)</f>
        <v>558.7654</v>
      </c>
      <c r="L25" s="41">
        <f t="shared" si="3"/>
        <v>832.560446</v>
      </c>
      <c r="M25" s="42">
        <v>790.0</v>
      </c>
    </row>
    <row r="26" ht="22.5" customHeight="1">
      <c r="A26" s="33" t="s">
        <v>148</v>
      </c>
      <c r="B26" s="33" t="s">
        <v>148</v>
      </c>
      <c r="C26" s="33" t="s">
        <v>149</v>
      </c>
      <c r="D26" s="12" t="s">
        <v>150</v>
      </c>
      <c r="E26" s="38">
        <v>0.3</v>
      </c>
      <c r="F26" s="39" t="s">
        <v>57</v>
      </c>
      <c r="G26" s="34">
        <v>3.0</v>
      </c>
      <c r="H26" s="34">
        <v>1.49</v>
      </c>
      <c r="I26" s="31">
        <f t="shared" si="1"/>
        <v>0.25</v>
      </c>
      <c r="J26" s="40">
        <f t="shared" si="2"/>
        <v>1.49</v>
      </c>
      <c r="K26" s="40">
        <f>IFERROR(__xludf.DUMMYFUNCTION("GOOGLEFINANCE(""CURRENCY:USDCVE"")"),93.92769000000001)</f>
        <v>93.92769</v>
      </c>
      <c r="L26" s="41">
        <f t="shared" si="3"/>
        <v>139.9522581</v>
      </c>
      <c r="M26" s="42">
        <v>129.0</v>
      </c>
    </row>
    <row r="27" ht="22.5" customHeight="1">
      <c r="A27" s="33" t="s">
        <v>151</v>
      </c>
      <c r="B27" s="33" t="s">
        <v>152</v>
      </c>
      <c r="C27" s="33" t="s">
        <v>153</v>
      </c>
      <c r="D27" s="12" t="s">
        <v>154</v>
      </c>
      <c r="E27" s="38">
        <v>0.2</v>
      </c>
      <c r="F27" s="39" t="s">
        <v>57</v>
      </c>
      <c r="G27" s="34">
        <v>3.0</v>
      </c>
      <c r="H27" s="34">
        <v>1.49</v>
      </c>
      <c r="I27" s="31">
        <f t="shared" si="1"/>
        <v>0.25</v>
      </c>
      <c r="J27" s="40">
        <f t="shared" si="2"/>
        <v>1.49</v>
      </c>
      <c r="K27" s="40">
        <f>IFERROR(__xludf.DUMMYFUNCTION("GOOGLEFINANCE(""CURRENCY:USDKHR"")"),4012.13)</f>
        <v>4012.13</v>
      </c>
      <c r="L27" s="41">
        <f t="shared" si="3"/>
        <v>5978.0737</v>
      </c>
      <c r="M27" s="42">
        <v>4900.0</v>
      </c>
    </row>
    <row r="28" ht="22.5" customHeight="1">
      <c r="A28" s="33" t="s">
        <v>155</v>
      </c>
      <c r="B28" s="33" t="s">
        <v>156</v>
      </c>
      <c r="C28" s="33" t="s">
        <v>157</v>
      </c>
      <c r="D28" s="12" t="s">
        <v>158</v>
      </c>
      <c r="E28" s="38">
        <v>0.12</v>
      </c>
      <c r="F28" s="39" t="s">
        <v>57</v>
      </c>
      <c r="G28" s="34">
        <v>3.0</v>
      </c>
      <c r="H28" s="34">
        <v>1.49</v>
      </c>
      <c r="I28" s="31">
        <f t="shared" si="1"/>
        <v>0.25</v>
      </c>
      <c r="J28" s="40">
        <f t="shared" si="2"/>
        <v>1.49</v>
      </c>
      <c r="K28" s="40">
        <f>IFERROR(__xludf.DUMMYFUNCTION("GOOGLEFINANCE(""CURRENCY:USDXAF"")"),558.7654)</f>
        <v>558.7654</v>
      </c>
      <c r="L28" s="41">
        <f t="shared" si="3"/>
        <v>832.560446</v>
      </c>
      <c r="M28" s="42">
        <v>790.0</v>
      </c>
    </row>
    <row r="29" ht="22.5" customHeight="1">
      <c r="A29" s="33" t="s">
        <v>159</v>
      </c>
      <c r="B29" s="33" t="s">
        <v>160</v>
      </c>
      <c r="C29" s="33" t="s">
        <v>161</v>
      </c>
      <c r="D29" s="17" t="s">
        <v>162</v>
      </c>
      <c r="E29" s="38">
        <v>0.95</v>
      </c>
      <c r="F29" s="39" t="s">
        <v>690</v>
      </c>
      <c r="G29" s="34">
        <v>3.0</v>
      </c>
      <c r="H29" s="34">
        <v>1.49</v>
      </c>
      <c r="I29" s="31">
        <f t="shared" si="1"/>
        <v>1</v>
      </c>
      <c r="J29" s="40">
        <f t="shared" si="2"/>
        <v>3</v>
      </c>
      <c r="K29" s="43">
        <f>IFERROR(__xludf.DUMMYFUNCTION("GOOGLEFINANCE(""CURRENCY:USDCAD"")"),1.369425)</f>
        <v>1.369425</v>
      </c>
      <c r="L29" s="41">
        <f t="shared" si="3"/>
        <v>4.108275</v>
      </c>
      <c r="M29" s="42">
        <v>3.9</v>
      </c>
    </row>
    <row r="30" ht="22.5" customHeight="1">
      <c r="A30" s="33" t="s">
        <v>164</v>
      </c>
      <c r="B30" s="33" t="s">
        <v>165</v>
      </c>
      <c r="C30" s="33" t="s">
        <v>166</v>
      </c>
      <c r="D30" s="12" t="s">
        <v>167</v>
      </c>
      <c r="E30" s="38">
        <v>1.0</v>
      </c>
      <c r="F30" s="39" t="s">
        <v>690</v>
      </c>
      <c r="G30" s="34">
        <v>3.0</v>
      </c>
      <c r="H30" s="34">
        <v>1.49</v>
      </c>
      <c r="I30" s="31">
        <f t="shared" si="1"/>
        <v>1</v>
      </c>
      <c r="J30" s="40">
        <f t="shared" si="2"/>
        <v>3</v>
      </c>
      <c r="K30" s="40">
        <f>IFERROR(__xludf.DUMMYFUNCTION("GOOGLEFINANCE(""CURRENCY:USDKYD"")"),0.8334256)</f>
        <v>0.8334256</v>
      </c>
      <c r="L30" s="41">
        <f t="shared" si="3"/>
        <v>2.5002768</v>
      </c>
      <c r="M30" s="42">
        <v>2.39</v>
      </c>
    </row>
    <row r="31" ht="22.5" customHeight="1">
      <c r="A31" s="33" t="s">
        <v>168</v>
      </c>
      <c r="B31" s="33" t="s">
        <v>692</v>
      </c>
      <c r="C31" s="33" t="s">
        <v>170</v>
      </c>
      <c r="D31" s="12" t="s">
        <v>158</v>
      </c>
      <c r="E31" s="38">
        <v>0.12</v>
      </c>
      <c r="F31" s="39" t="s">
        <v>57</v>
      </c>
      <c r="G31" s="34">
        <v>3.0</v>
      </c>
      <c r="H31" s="34">
        <v>1.49</v>
      </c>
      <c r="I31" s="31">
        <f t="shared" si="1"/>
        <v>0.25</v>
      </c>
      <c r="J31" s="40">
        <f t="shared" si="2"/>
        <v>1.49</v>
      </c>
      <c r="K31" s="40">
        <f>IFERROR(__xludf.DUMMYFUNCTION("GOOGLEFINANCE(""CURRENCY:USDXAF"")"),558.7654)</f>
        <v>558.7654</v>
      </c>
      <c r="L31" s="41">
        <f t="shared" si="3"/>
        <v>832.560446</v>
      </c>
      <c r="M31" s="42">
        <v>790.0</v>
      </c>
    </row>
    <row r="32" ht="22.5" customHeight="1">
      <c r="A32" s="33" t="s">
        <v>171</v>
      </c>
      <c r="B32" s="33" t="s">
        <v>172</v>
      </c>
      <c r="C32" s="33" t="s">
        <v>173</v>
      </c>
      <c r="D32" s="12" t="s">
        <v>158</v>
      </c>
      <c r="E32" s="38">
        <v>0.12</v>
      </c>
      <c r="F32" s="39" t="s">
        <v>57</v>
      </c>
      <c r="G32" s="34">
        <v>3.0</v>
      </c>
      <c r="H32" s="34">
        <v>1.49</v>
      </c>
      <c r="I32" s="31">
        <f t="shared" si="1"/>
        <v>0.25</v>
      </c>
      <c r="J32" s="40">
        <f t="shared" si="2"/>
        <v>1.49</v>
      </c>
      <c r="K32" s="40">
        <f>IFERROR(__xludf.DUMMYFUNCTION("GOOGLEFINANCE(""CURRENCY:USDXAF"")"),558.7654)</f>
        <v>558.7654</v>
      </c>
      <c r="L32" s="41">
        <f t="shared" si="3"/>
        <v>832.560446</v>
      </c>
      <c r="M32" s="42">
        <v>790.0</v>
      </c>
    </row>
    <row r="33" ht="22.5" customHeight="1">
      <c r="A33" s="33" t="s">
        <v>174</v>
      </c>
      <c r="B33" s="33" t="s">
        <v>175</v>
      </c>
      <c r="C33" s="33" t="s">
        <v>176</v>
      </c>
      <c r="D33" s="12" t="s">
        <v>177</v>
      </c>
      <c r="E33" s="38">
        <v>0.6</v>
      </c>
      <c r="F33" s="39" t="s">
        <v>26</v>
      </c>
      <c r="G33" s="34">
        <v>3.0</v>
      </c>
      <c r="H33" s="34">
        <v>1.49</v>
      </c>
      <c r="I33" s="31">
        <f t="shared" si="1"/>
        <v>0.55</v>
      </c>
      <c r="J33" s="40">
        <f t="shared" si="2"/>
        <v>1.65</v>
      </c>
      <c r="K33" s="40">
        <f>IFERROR(__xludf.DUMMYFUNCTION("GOOGLEFINANCE(""CURRENCY:USDCLP"")"),892.857143)</f>
        <v>892.857143</v>
      </c>
      <c r="L33" s="41">
        <f t="shared" si="3"/>
        <v>1473.214286</v>
      </c>
      <c r="M33" s="42">
        <v>1390.0</v>
      </c>
    </row>
    <row r="34" ht="22.5" customHeight="1">
      <c r="A34" s="33" t="s">
        <v>178</v>
      </c>
      <c r="B34" s="33" t="s">
        <v>179</v>
      </c>
      <c r="C34" s="33" t="s">
        <v>180</v>
      </c>
      <c r="D34" s="12" t="s">
        <v>181</v>
      </c>
      <c r="E34" s="38">
        <v>0.38</v>
      </c>
      <c r="F34" s="39" t="s">
        <v>26</v>
      </c>
      <c r="G34" s="34">
        <v>3.0</v>
      </c>
      <c r="H34" s="34">
        <v>1.49</v>
      </c>
      <c r="I34" s="31">
        <f t="shared" si="1"/>
        <v>0.55</v>
      </c>
      <c r="J34" s="40">
        <f t="shared" si="2"/>
        <v>1.65</v>
      </c>
      <c r="K34" s="40">
        <f>IFERROR(__xludf.DUMMYFUNCTION("GOOGLEFINANCE(""CURRENCY:USDCOP"")"),3752.41843)</f>
        <v>3752.41843</v>
      </c>
      <c r="L34" s="41">
        <f t="shared" si="3"/>
        <v>6191.49041</v>
      </c>
      <c r="M34" s="42">
        <v>5900.0</v>
      </c>
    </row>
    <row r="35" ht="22.5" customHeight="1">
      <c r="A35" s="33" t="s">
        <v>182</v>
      </c>
      <c r="B35" s="33" t="s">
        <v>183</v>
      </c>
      <c r="C35" s="33" t="s">
        <v>184</v>
      </c>
      <c r="D35" s="12" t="s">
        <v>185</v>
      </c>
      <c r="E35" s="38">
        <v>0.18</v>
      </c>
      <c r="F35" s="39" t="s">
        <v>57</v>
      </c>
      <c r="G35" s="34">
        <v>3.0</v>
      </c>
      <c r="H35" s="34">
        <v>1.49</v>
      </c>
      <c r="I35" s="31">
        <f t="shared" si="1"/>
        <v>0.25</v>
      </c>
      <c r="J35" s="40">
        <f t="shared" si="2"/>
        <v>1.49</v>
      </c>
      <c r="K35" s="40">
        <f>IFERROR(__xludf.DUMMYFUNCTION("GOOGLEFINANCE(""CURRENCY:USDKMF"")"),420.0)</f>
        <v>420</v>
      </c>
      <c r="L35" s="41">
        <f t="shared" si="3"/>
        <v>625.8</v>
      </c>
      <c r="M35" s="42">
        <v>590.0</v>
      </c>
    </row>
    <row r="36" ht="22.5" customHeight="1">
      <c r="A36" s="33" t="s">
        <v>186</v>
      </c>
      <c r="B36" s="33" t="s">
        <v>187</v>
      </c>
      <c r="C36" s="33" t="s">
        <v>188</v>
      </c>
      <c r="D36" s="12" t="s">
        <v>158</v>
      </c>
      <c r="E36" s="38">
        <v>0.22</v>
      </c>
      <c r="F36" s="39" t="s">
        <v>57</v>
      </c>
      <c r="G36" s="34">
        <v>3.0</v>
      </c>
      <c r="H36" s="34">
        <v>1.49</v>
      </c>
      <c r="I36" s="31">
        <f t="shared" si="1"/>
        <v>0.25</v>
      </c>
      <c r="J36" s="40">
        <f t="shared" si="2"/>
        <v>1.49</v>
      </c>
      <c r="K36" s="40">
        <f>IFERROR(__xludf.DUMMYFUNCTION("GOOGLEFINANCE(""CURRENCY:USDXAF"")"),558.7654)</f>
        <v>558.7654</v>
      </c>
      <c r="L36" s="41">
        <f t="shared" si="3"/>
        <v>832.560446</v>
      </c>
      <c r="M36" s="42">
        <v>790.0</v>
      </c>
    </row>
    <row r="37" ht="22.5" customHeight="1">
      <c r="A37" s="33" t="s">
        <v>189</v>
      </c>
      <c r="B37" s="33" t="s">
        <v>727</v>
      </c>
      <c r="C37" s="33" t="s">
        <v>191</v>
      </c>
      <c r="D37" s="12" t="s">
        <v>192</v>
      </c>
      <c r="E37" s="38">
        <v>0.15</v>
      </c>
      <c r="F37" s="39" t="s">
        <v>57</v>
      </c>
      <c r="G37" s="34">
        <v>3.0</v>
      </c>
      <c r="H37" s="34">
        <v>1.49</v>
      </c>
      <c r="I37" s="31">
        <f t="shared" si="1"/>
        <v>0.25</v>
      </c>
      <c r="J37" s="40">
        <f t="shared" si="2"/>
        <v>1.49</v>
      </c>
      <c r="K37" s="40">
        <f>IFERROR(__xludf.DUMMYFUNCTION("GOOGLEFINANCE(""CURRENCY:USDCDF"")"),2280.07117)</f>
        <v>2280.07117</v>
      </c>
      <c r="L37" s="41">
        <f t="shared" si="3"/>
        <v>3397.306043</v>
      </c>
      <c r="M37" s="42">
        <v>2900.0</v>
      </c>
    </row>
    <row r="38" ht="22.5" customHeight="1">
      <c r="A38" s="33" t="s">
        <v>193</v>
      </c>
      <c r="B38" s="33" t="s">
        <v>194</v>
      </c>
      <c r="C38" s="33" t="s">
        <v>195</v>
      </c>
      <c r="D38" s="12" t="s">
        <v>196</v>
      </c>
      <c r="E38" s="38">
        <v>0.5</v>
      </c>
      <c r="F38" s="39" t="s">
        <v>57</v>
      </c>
      <c r="G38" s="34">
        <v>3.0</v>
      </c>
      <c r="H38" s="34">
        <v>1.49</v>
      </c>
      <c r="I38" s="31">
        <f t="shared" si="1"/>
        <v>0.25</v>
      </c>
      <c r="J38" s="40">
        <f t="shared" si="2"/>
        <v>1.49</v>
      </c>
      <c r="K38" s="40">
        <f>IFERROR(__xludf.DUMMYFUNCTION("GOOGLEFINANCE(""CURRENCY:USDCRC"")"),456.4117)</f>
        <v>456.4117</v>
      </c>
      <c r="L38" s="41">
        <f t="shared" si="3"/>
        <v>680.053433</v>
      </c>
      <c r="M38" s="42">
        <v>649.0</v>
      </c>
    </row>
    <row r="39" ht="22.5" customHeight="1">
      <c r="A39" s="33" t="s">
        <v>728</v>
      </c>
      <c r="B39" s="33" t="s">
        <v>728</v>
      </c>
      <c r="C39" s="33" t="s">
        <v>198</v>
      </c>
      <c r="D39" s="12" t="s">
        <v>121</v>
      </c>
      <c r="E39" s="38">
        <v>0.25</v>
      </c>
      <c r="F39" s="39" t="s">
        <v>57</v>
      </c>
      <c r="G39" s="34">
        <v>3.0</v>
      </c>
      <c r="H39" s="34">
        <v>1.49</v>
      </c>
      <c r="I39" s="31">
        <f t="shared" si="1"/>
        <v>0.25</v>
      </c>
      <c r="J39" s="40">
        <f t="shared" si="2"/>
        <v>1.49</v>
      </c>
      <c r="K39" s="40">
        <f>IFERROR(__xludf.DUMMYFUNCTION("GOOGLEFINANCE(""CURRENCY:USDXOF"")"),558.7654)</f>
        <v>558.7654</v>
      </c>
      <c r="L39" s="41">
        <f t="shared" si="3"/>
        <v>832.560446</v>
      </c>
      <c r="M39" s="42">
        <v>790.0</v>
      </c>
    </row>
    <row r="40" ht="22.5" customHeight="1">
      <c r="A40" s="33" t="s">
        <v>199</v>
      </c>
      <c r="B40" s="33" t="s">
        <v>200</v>
      </c>
      <c r="C40" s="33" t="s">
        <v>201</v>
      </c>
      <c r="D40" s="12" t="s">
        <v>93</v>
      </c>
      <c r="E40" s="38">
        <v>0.55</v>
      </c>
      <c r="F40" s="39" t="s">
        <v>26</v>
      </c>
      <c r="G40" s="34">
        <v>3.0</v>
      </c>
      <c r="H40" s="34">
        <v>1.49</v>
      </c>
      <c r="I40" s="31">
        <f t="shared" si="1"/>
        <v>0.55</v>
      </c>
      <c r="J40" s="40">
        <f t="shared" si="2"/>
        <v>1.65</v>
      </c>
      <c r="K40" s="40">
        <f>IFERROR(__xludf.DUMMYFUNCTION("GOOGLEFINANCE(""CURRENCY:USDEUR"")"),0.8519)</f>
        <v>0.8519</v>
      </c>
      <c r="L40" s="41">
        <f t="shared" si="3"/>
        <v>1.405635</v>
      </c>
      <c r="M40" s="42">
        <v>1.39</v>
      </c>
    </row>
    <row r="41" ht="22.5" customHeight="1">
      <c r="A41" s="33" t="s">
        <v>202</v>
      </c>
      <c r="B41" s="33" t="s">
        <v>203</v>
      </c>
      <c r="C41" s="33" t="s">
        <v>204</v>
      </c>
      <c r="D41" s="12" t="s">
        <v>93</v>
      </c>
      <c r="E41" s="38">
        <v>0.7</v>
      </c>
      <c r="F41" s="39" t="s">
        <v>22</v>
      </c>
      <c r="G41" s="34">
        <v>3.0</v>
      </c>
      <c r="H41" s="34">
        <v>1.49</v>
      </c>
      <c r="I41" s="31">
        <f t="shared" si="1"/>
        <v>0.8</v>
      </c>
      <c r="J41" s="40">
        <f t="shared" si="2"/>
        <v>2.4</v>
      </c>
      <c r="K41" s="40">
        <f>IFERROR(__xludf.DUMMYFUNCTION("GOOGLEFINANCE(""CURRENCY:USDEUR"")"),0.8519)</f>
        <v>0.8519</v>
      </c>
      <c r="L41" s="41">
        <f t="shared" si="3"/>
        <v>2.04456</v>
      </c>
      <c r="M41" s="42">
        <v>1.9</v>
      </c>
    </row>
    <row r="42" ht="22.5" customHeight="1">
      <c r="A42" s="33" t="s">
        <v>205</v>
      </c>
      <c r="B42" s="33" t="s">
        <v>729</v>
      </c>
      <c r="C42" s="33" t="s">
        <v>207</v>
      </c>
      <c r="D42" s="12" t="s">
        <v>208</v>
      </c>
      <c r="E42" s="38">
        <v>0.6</v>
      </c>
      <c r="F42" s="39" t="s">
        <v>22</v>
      </c>
      <c r="G42" s="34">
        <v>3.0</v>
      </c>
      <c r="H42" s="34">
        <v>1.49</v>
      </c>
      <c r="I42" s="31">
        <f t="shared" si="1"/>
        <v>0.8</v>
      </c>
      <c r="J42" s="40">
        <f t="shared" si="2"/>
        <v>2.4</v>
      </c>
      <c r="K42" s="40">
        <f>IFERROR(__xludf.DUMMYFUNCTION("GOOGLEFINANCE(""CURRENCY:USDCZK"")"),20.7329)</f>
        <v>20.7329</v>
      </c>
      <c r="L42" s="41">
        <f t="shared" si="3"/>
        <v>49.75896</v>
      </c>
      <c r="M42" s="42">
        <v>48.9</v>
      </c>
    </row>
    <row r="43" ht="22.5" customHeight="1">
      <c r="A43" s="33" t="s">
        <v>209</v>
      </c>
      <c r="B43" s="33" t="s">
        <v>210</v>
      </c>
      <c r="C43" s="33" t="s">
        <v>211</v>
      </c>
      <c r="D43" s="12" t="s">
        <v>212</v>
      </c>
      <c r="E43" s="38">
        <v>0.92</v>
      </c>
      <c r="F43" s="39" t="s">
        <v>690</v>
      </c>
      <c r="G43" s="34">
        <v>3.0</v>
      </c>
      <c r="H43" s="34">
        <v>1.49</v>
      </c>
      <c r="I43" s="31">
        <f t="shared" si="1"/>
        <v>1</v>
      </c>
      <c r="J43" s="40">
        <f t="shared" si="2"/>
        <v>3</v>
      </c>
      <c r="K43" s="40">
        <f>IFERROR(__xludf.DUMMYFUNCTION("GOOGLEFINANCE(""CURRENCY:USDDKK"")"),6.36478)</f>
        <v>6.36478</v>
      </c>
      <c r="L43" s="41">
        <f t="shared" si="3"/>
        <v>19.09434</v>
      </c>
      <c r="M43" s="42">
        <v>18.9</v>
      </c>
    </row>
    <row r="44" ht="22.5" customHeight="1">
      <c r="A44" s="33" t="s">
        <v>213</v>
      </c>
      <c r="B44" s="33" t="s">
        <v>214</v>
      </c>
      <c r="C44" s="33" t="s">
        <v>215</v>
      </c>
      <c r="D44" s="12" t="s">
        <v>216</v>
      </c>
      <c r="E44" s="38">
        <v>0.25</v>
      </c>
      <c r="F44" s="39" t="s">
        <v>57</v>
      </c>
      <c r="G44" s="34">
        <v>3.0</v>
      </c>
      <c r="H44" s="34">
        <v>1.49</v>
      </c>
      <c r="I44" s="31">
        <f t="shared" si="1"/>
        <v>0.25</v>
      </c>
      <c r="J44" s="40">
        <f t="shared" si="2"/>
        <v>1.49</v>
      </c>
      <c r="K44" s="40">
        <f>IFERROR(__xludf.DUMMYFUNCTION("GOOGLEFINANCE(""CURRENCY:USDDJF"")"),178.0926)</f>
        <v>178.0926</v>
      </c>
      <c r="L44" s="41">
        <f t="shared" si="3"/>
        <v>265.357974</v>
      </c>
      <c r="M44" s="42">
        <v>249.0</v>
      </c>
    </row>
    <row r="45" ht="22.5" customHeight="1">
      <c r="A45" s="33" t="s">
        <v>217</v>
      </c>
      <c r="B45" s="33" t="s">
        <v>218</v>
      </c>
      <c r="C45" s="33" t="s">
        <v>219</v>
      </c>
      <c r="D45" s="12" t="s">
        <v>71</v>
      </c>
      <c r="E45" s="38">
        <v>0.55</v>
      </c>
      <c r="F45" s="39" t="s">
        <v>26</v>
      </c>
      <c r="G45" s="34">
        <v>3.0</v>
      </c>
      <c r="H45" s="34">
        <v>1.49</v>
      </c>
      <c r="I45" s="31">
        <f t="shared" si="1"/>
        <v>0.55</v>
      </c>
      <c r="J45" s="40">
        <f t="shared" si="2"/>
        <v>1.65</v>
      </c>
      <c r="K45" s="40">
        <f>IFERROR(__xludf.DUMMYFUNCTION("GOOGLEFINANCE(""CURRENCY:USDXCD"")"),2.70255)</f>
        <v>2.70255</v>
      </c>
      <c r="L45" s="41">
        <f t="shared" si="3"/>
        <v>4.4592075</v>
      </c>
      <c r="M45" s="42">
        <v>4.39</v>
      </c>
    </row>
    <row r="46" ht="22.5" customHeight="1">
      <c r="A46" s="33" t="s">
        <v>220</v>
      </c>
      <c r="B46" s="33" t="s">
        <v>221</v>
      </c>
      <c r="C46" s="33" t="s">
        <v>219</v>
      </c>
      <c r="D46" s="12" t="s">
        <v>222</v>
      </c>
      <c r="E46" s="38">
        <v>0.35</v>
      </c>
      <c r="F46" s="39" t="s">
        <v>30</v>
      </c>
      <c r="G46" s="34">
        <v>3.0</v>
      </c>
      <c r="H46" s="34">
        <v>1.49</v>
      </c>
      <c r="I46" s="31">
        <f t="shared" si="1"/>
        <v>0.3</v>
      </c>
      <c r="J46" s="40">
        <f t="shared" si="2"/>
        <v>1.49</v>
      </c>
      <c r="K46" s="40">
        <f>IFERROR(__xludf.DUMMYFUNCTION("GOOGLEFINANCE(""CURRENCY:USDDOP"")"),59.02346000000001)</f>
        <v>59.02346</v>
      </c>
      <c r="L46" s="41">
        <f t="shared" si="3"/>
        <v>87.9449554</v>
      </c>
      <c r="M46" s="42">
        <v>79.0</v>
      </c>
    </row>
    <row r="47" ht="22.5" customHeight="1">
      <c r="A47" s="33" t="s">
        <v>223</v>
      </c>
      <c r="B47" s="33" t="s">
        <v>224</v>
      </c>
      <c r="C47" s="33" t="s">
        <v>225</v>
      </c>
      <c r="D47" s="12" t="s">
        <v>226</v>
      </c>
      <c r="E47" s="38">
        <v>0.4</v>
      </c>
      <c r="F47" s="39" t="s">
        <v>26</v>
      </c>
      <c r="G47" s="34">
        <v>3.0</v>
      </c>
      <c r="H47" s="34">
        <v>1.49</v>
      </c>
      <c r="I47" s="31">
        <f t="shared" si="1"/>
        <v>0.55</v>
      </c>
      <c r="J47" s="40">
        <f t="shared" si="2"/>
        <v>1.65</v>
      </c>
      <c r="K47" s="40" t="str">
        <f>IFERROR(__xludf.DUMMYFUNCTION("GOOGLEFINANCE(""CURRENCY:USDUSD"")"),"#N/A")</f>
        <v>#N/A</v>
      </c>
      <c r="L47" s="41" t="str">
        <f t="shared" si="3"/>
        <v>#N/A</v>
      </c>
      <c r="M47" s="44"/>
    </row>
    <row r="48" ht="22.5" customHeight="1">
      <c r="A48" s="33" t="s">
        <v>227</v>
      </c>
      <c r="B48" s="33" t="s">
        <v>694</v>
      </c>
      <c r="C48" s="33" t="s">
        <v>229</v>
      </c>
      <c r="D48" s="12" t="s">
        <v>230</v>
      </c>
      <c r="E48" s="38">
        <v>0.25</v>
      </c>
      <c r="F48" s="39" t="s">
        <v>30</v>
      </c>
      <c r="G48" s="34">
        <v>3.0</v>
      </c>
      <c r="H48" s="34">
        <v>1.49</v>
      </c>
      <c r="I48" s="31">
        <f t="shared" si="1"/>
        <v>0.3</v>
      </c>
      <c r="J48" s="40">
        <f t="shared" si="2"/>
        <v>1.49</v>
      </c>
      <c r="K48" s="40">
        <f>IFERROR(__xludf.DUMMYFUNCTION("GOOGLEFINANCE(""CURRENCY:USDEGP"")"),52.9003)</f>
        <v>52.9003</v>
      </c>
      <c r="L48" s="41">
        <f t="shared" si="3"/>
        <v>78.821447</v>
      </c>
      <c r="M48" s="42">
        <v>69.0</v>
      </c>
    </row>
    <row r="49" ht="22.5" customHeight="1">
      <c r="A49" s="33" t="s">
        <v>231</v>
      </c>
      <c r="B49" s="33" t="s">
        <v>231</v>
      </c>
      <c r="C49" s="33" t="s">
        <v>232</v>
      </c>
      <c r="D49" s="12" t="s">
        <v>233</v>
      </c>
      <c r="E49" s="38">
        <v>0.3</v>
      </c>
      <c r="F49" s="39" t="s">
        <v>57</v>
      </c>
      <c r="G49" s="34">
        <v>3.0</v>
      </c>
      <c r="H49" s="34">
        <v>1.49</v>
      </c>
      <c r="I49" s="31">
        <f t="shared" si="1"/>
        <v>0.25</v>
      </c>
      <c r="J49" s="40">
        <f t="shared" si="2"/>
        <v>1.49</v>
      </c>
      <c r="K49" s="40">
        <f>IFERROR(__xludf.DUMMYFUNCTION("GOOGLEFINANCE(""CURRENCY:USDSVC"")"),8.750798999999999)</f>
        <v>8.750799</v>
      </c>
      <c r="L49" s="41">
        <f t="shared" si="3"/>
        <v>13.03869051</v>
      </c>
      <c r="M49" s="42">
        <v>12.9</v>
      </c>
    </row>
    <row r="50" ht="22.5" customHeight="1">
      <c r="A50" s="33" t="s">
        <v>234</v>
      </c>
      <c r="B50" s="33" t="s">
        <v>235</v>
      </c>
      <c r="C50" s="33" t="s">
        <v>236</v>
      </c>
      <c r="D50" s="12" t="s">
        <v>237</v>
      </c>
      <c r="E50" s="38">
        <v>0.15</v>
      </c>
      <c r="F50" s="39" t="s">
        <v>57</v>
      </c>
      <c r="G50" s="34">
        <v>3.0</v>
      </c>
      <c r="H50" s="34">
        <v>1.49</v>
      </c>
      <c r="I50" s="31">
        <f t="shared" si="1"/>
        <v>0.25</v>
      </c>
      <c r="J50" s="40">
        <f t="shared" si="2"/>
        <v>1.49</v>
      </c>
      <c r="K50" s="40" t="str">
        <f>IFERROR(__xludf.DUMMYFUNCTION("GOOGLEFINANCE(""CURRENCY:USDERN"")"),"#N/A")</f>
        <v>#N/A</v>
      </c>
      <c r="L50" s="41" t="str">
        <f t="shared" si="3"/>
        <v>#N/A</v>
      </c>
      <c r="M50" s="44"/>
    </row>
    <row r="51" ht="22.5" customHeight="1">
      <c r="A51" s="33" t="s">
        <v>238</v>
      </c>
      <c r="B51" s="33" t="s">
        <v>239</v>
      </c>
      <c r="C51" s="33" t="s">
        <v>240</v>
      </c>
      <c r="D51" s="12" t="s">
        <v>93</v>
      </c>
      <c r="E51" s="38">
        <v>0.65</v>
      </c>
      <c r="F51" s="39" t="s">
        <v>22</v>
      </c>
      <c r="G51" s="34">
        <v>3.0</v>
      </c>
      <c r="H51" s="34">
        <v>1.49</v>
      </c>
      <c r="I51" s="31">
        <f t="shared" si="1"/>
        <v>0.8</v>
      </c>
      <c r="J51" s="40">
        <f t="shared" si="2"/>
        <v>2.4</v>
      </c>
      <c r="K51" s="40">
        <f>IFERROR(__xludf.DUMMYFUNCTION("GOOGLEFINANCE(""CURRENCY:USDEUR"")"),0.8519)</f>
        <v>0.8519</v>
      </c>
      <c r="L51" s="41">
        <f t="shared" si="3"/>
        <v>2.04456</v>
      </c>
      <c r="M51" s="42">
        <v>1.9</v>
      </c>
    </row>
    <row r="52" ht="22.5" customHeight="1">
      <c r="A52" s="33" t="s">
        <v>241</v>
      </c>
      <c r="B52" s="33" t="s">
        <v>241</v>
      </c>
      <c r="C52" s="33" t="s">
        <v>242</v>
      </c>
      <c r="D52" s="12" t="s">
        <v>243</v>
      </c>
      <c r="E52" s="38">
        <v>0.4</v>
      </c>
      <c r="F52" s="39" t="s">
        <v>26</v>
      </c>
      <c r="G52" s="34">
        <v>3.0</v>
      </c>
      <c r="H52" s="34">
        <v>1.49</v>
      </c>
      <c r="I52" s="31">
        <f t="shared" si="1"/>
        <v>0.55</v>
      </c>
      <c r="J52" s="40">
        <f t="shared" si="2"/>
        <v>1.65</v>
      </c>
      <c r="K52" s="40">
        <f>IFERROR(__xludf.DUMMYFUNCTION("GOOGLEFINANCE(""CURRENCY:USDFJD"")"),2.1853499999999997)</f>
        <v>2.18535</v>
      </c>
      <c r="L52" s="41">
        <f t="shared" si="3"/>
        <v>3.6058275</v>
      </c>
      <c r="M52" s="42">
        <v>3.49</v>
      </c>
    </row>
    <row r="53" ht="22.5" customHeight="1">
      <c r="A53" s="33" t="s">
        <v>244</v>
      </c>
      <c r="B53" s="33" t="s">
        <v>245</v>
      </c>
      <c r="C53" s="33" t="s">
        <v>246</v>
      </c>
      <c r="D53" s="12" t="s">
        <v>93</v>
      </c>
      <c r="E53" s="38">
        <v>0.85</v>
      </c>
      <c r="F53" s="39" t="s">
        <v>22</v>
      </c>
      <c r="G53" s="34">
        <v>3.0</v>
      </c>
      <c r="H53" s="34">
        <v>1.49</v>
      </c>
      <c r="I53" s="31">
        <f t="shared" si="1"/>
        <v>0.8</v>
      </c>
      <c r="J53" s="40">
        <f t="shared" si="2"/>
        <v>2.4</v>
      </c>
      <c r="K53" s="40">
        <f>IFERROR(__xludf.DUMMYFUNCTION("GOOGLEFINANCE(""CURRENCY:USDEUR"")"),0.8519)</f>
        <v>0.8519</v>
      </c>
      <c r="L53" s="41">
        <f t="shared" si="3"/>
        <v>2.04456</v>
      </c>
      <c r="M53" s="42">
        <v>1.9</v>
      </c>
    </row>
    <row r="54" ht="22.5" customHeight="1">
      <c r="A54" s="33" t="s">
        <v>247</v>
      </c>
      <c r="B54" s="33" t="s">
        <v>248</v>
      </c>
      <c r="C54" s="33" t="s">
        <v>249</v>
      </c>
      <c r="D54" s="12" t="s">
        <v>93</v>
      </c>
      <c r="E54" s="38">
        <v>0.82</v>
      </c>
      <c r="F54" s="39" t="s">
        <v>690</v>
      </c>
      <c r="G54" s="34">
        <v>3.0</v>
      </c>
      <c r="H54" s="34">
        <v>1.49</v>
      </c>
      <c r="I54" s="31">
        <f t="shared" si="1"/>
        <v>1</v>
      </c>
      <c r="J54" s="40">
        <f t="shared" si="2"/>
        <v>3</v>
      </c>
      <c r="K54" s="40">
        <f>IFERROR(__xludf.DUMMYFUNCTION("GOOGLEFINANCE(""CURRENCY:USDEUR"")"),0.8519)</f>
        <v>0.8519</v>
      </c>
      <c r="L54" s="41">
        <f t="shared" si="3"/>
        <v>2.5557</v>
      </c>
      <c r="M54" s="42">
        <v>2.49</v>
      </c>
    </row>
    <row r="55" ht="22.5" customHeight="1">
      <c r="A55" s="33" t="s">
        <v>250</v>
      </c>
      <c r="B55" s="33" t="s">
        <v>250</v>
      </c>
      <c r="C55" s="33" t="s">
        <v>251</v>
      </c>
      <c r="D55" s="12" t="s">
        <v>158</v>
      </c>
      <c r="E55" s="38">
        <v>0.4</v>
      </c>
      <c r="F55" s="39" t="s">
        <v>26</v>
      </c>
      <c r="G55" s="34">
        <v>3.0</v>
      </c>
      <c r="H55" s="34">
        <v>1.49</v>
      </c>
      <c r="I55" s="31">
        <f t="shared" si="1"/>
        <v>0.55</v>
      </c>
      <c r="J55" s="40">
        <f t="shared" si="2"/>
        <v>1.65</v>
      </c>
      <c r="K55" s="40">
        <f>IFERROR(__xludf.DUMMYFUNCTION("GOOGLEFINANCE(""CURRENCY:USDXAF"")"),558.7654)</f>
        <v>558.7654</v>
      </c>
      <c r="L55" s="41">
        <f t="shared" si="3"/>
        <v>921.96291</v>
      </c>
      <c r="M55" s="42">
        <v>890.0</v>
      </c>
    </row>
    <row r="56" ht="22.5" customHeight="1">
      <c r="A56" s="33" t="s">
        <v>252</v>
      </c>
      <c r="B56" s="33" t="s">
        <v>253</v>
      </c>
      <c r="C56" s="33" t="s">
        <v>254</v>
      </c>
      <c r="D56" s="12" t="s">
        <v>255</v>
      </c>
      <c r="E56" s="38">
        <v>0.18</v>
      </c>
      <c r="F56" s="39" t="s">
        <v>57</v>
      </c>
      <c r="G56" s="34">
        <v>3.0</v>
      </c>
      <c r="H56" s="34">
        <v>1.49</v>
      </c>
      <c r="I56" s="31">
        <f t="shared" si="1"/>
        <v>0.25</v>
      </c>
      <c r="J56" s="40">
        <f t="shared" si="2"/>
        <v>1.49</v>
      </c>
      <c r="K56" s="40">
        <f>IFERROR(__xludf.DUMMYFUNCTION("GOOGLEFINANCE(""CURRENCY:USDGMD"")"),73.5)</f>
        <v>73.5</v>
      </c>
      <c r="L56" s="41">
        <f t="shared" si="3"/>
        <v>109.515</v>
      </c>
      <c r="M56" s="42">
        <v>89.0</v>
      </c>
    </row>
    <row r="57" ht="22.5" customHeight="1">
      <c r="A57" s="33" t="s">
        <v>256</v>
      </c>
      <c r="B57" s="33" t="s">
        <v>257</v>
      </c>
      <c r="C57" s="33" t="s">
        <v>258</v>
      </c>
      <c r="D57" s="12" t="s">
        <v>259</v>
      </c>
      <c r="E57" s="38">
        <v>0.35</v>
      </c>
      <c r="F57" s="39" t="s">
        <v>30</v>
      </c>
      <c r="G57" s="34">
        <v>3.0</v>
      </c>
      <c r="H57" s="34">
        <v>1.49</v>
      </c>
      <c r="I57" s="31">
        <f t="shared" si="1"/>
        <v>0.3</v>
      </c>
      <c r="J57" s="40">
        <f t="shared" si="2"/>
        <v>1.49</v>
      </c>
      <c r="K57" s="40">
        <f>IFERROR(__xludf.DUMMYFUNCTION("GOOGLEFINANCE(""CURRENCY:USDGEL"")"),2.67)</f>
        <v>2.67</v>
      </c>
      <c r="L57" s="41">
        <f t="shared" si="3"/>
        <v>3.9783</v>
      </c>
      <c r="M57" s="42">
        <v>3.49</v>
      </c>
    </row>
    <row r="58" ht="22.5" customHeight="1">
      <c r="A58" s="33" t="s">
        <v>260</v>
      </c>
      <c r="B58" s="33" t="s">
        <v>261</v>
      </c>
      <c r="C58" s="33" t="s">
        <v>262</v>
      </c>
      <c r="D58" s="17" t="s">
        <v>93</v>
      </c>
      <c r="E58" s="38">
        <v>0.85</v>
      </c>
      <c r="F58" s="39" t="s">
        <v>690</v>
      </c>
      <c r="G58" s="34">
        <v>3.0</v>
      </c>
      <c r="H58" s="34">
        <v>1.49</v>
      </c>
      <c r="I58" s="31">
        <f t="shared" si="1"/>
        <v>1</v>
      </c>
      <c r="J58" s="40">
        <f t="shared" si="2"/>
        <v>3</v>
      </c>
      <c r="K58" s="43">
        <f>IFERROR(__xludf.DUMMYFUNCTION("GOOGLEFINANCE(""CURRENCY:USDEUR"")"),0.8519)</f>
        <v>0.8519</v>
      </c>
      <c r="L58" s="41">
        <f t="shared" si="3"/>
        <v>2.5557</v>
      </c>
      <c r="M58" s="42">
        <v>2.49</v>
      </c>
    </row>
    <row r="59" ht="22.5" customHeight="1">
      <c r="A59" s="33" t="s">
        <v>265</v>
      </c>
      <c r="B59" s="33" t="s">
        <v>266</v>
      </c>
      <c r="C59" s="33" t="s">
        <v>267</v>
      </c>
      <c r="D59" s="12" t="s">
        <v>268</v>
      </c>
      <c r="E59" s="38">
        <v>0.22</v>
      </c>
      <c r="F59" s="39" t="s">
        <v>57</v>
      </c>
      <c r="G59" s="34">
        <v>3.0</v>
      </c>
      <c r="H59" s="34">
        <v>1.49</v>
      </c>
      <c r="I59" s="31">
        <f t="shared" si="1"/>
        <v>0.25</v>
      </c>
      <c r="J59" s="40">
        <f t="shared" si="2"/>
        <v>1.49</v>
      </c>
      <c r="K59" s="40">
        <f>IFERROR(__xludf.DUMMYFUNCTION("GOOGLEFINANCE(""CURRENCY:USDGHS"")"),11.29109)</f>
        <v>11.29109</v>
      </c>
      <c r="L59" s="41">
        <f t="shared" si="3"/>
        <v>16.8237241</v>
      </c>
      <c r="M59" s="42">
        <v>15.9</v>
      </c>
    </row>
    <row r="60" ht="22.5" customHeight="1">
      <c r="A60" s="33" t="s">
        <v>269</v>
      </c>
      <c r="B60" s="33" t="s">
        <v>270</v>
      </c>
      <c r="C60" s="33" t="s">
        <v>271</v>
      </c>
      <c r="D60" s="12" t="s">
        <v>272</v>
      </c>
      <c r="E60" s="38">
        <v>0.9</v>
      </c>
      <c r="F60" s="39" t="s">
        <v>22</v>
      </c>
      <c r="G60" s="34">
        <v>3.0</v>
      </c>
      <c r="H60" s="34">
        <v>1.49</v>
      </c>
      <c r="I60" s="31">
        <f t="shared" si="1"/>
        <v>0.8</v>
      </c>
      <c r="J60" s="40">
        <f t="shared" si="2"/>
        <v>2.4</v>
      </c>
      <c r="K60" s="40" t="str">
        <f>IFERROR(__xludf.DUMMYFUNCTION("GOOGLEFINANCE(""CURRENCY:USDGIP"")"),"#N/A")</f>
        <v>#N/A</v>
      </c>
      <c r="L60" s="41" t="str">
        <f t="shared" si="3"/>
        <v>#N/A</v>
      </c>
      <c r="M60" s="44"/>
    </row>
    <row r="61" ht="22.5" customHeight="1">
      <c r="A61" s="33" t="s">
        <v>273</v>
      </c>
      <c r="B61" s="33" t="s">
        <v>274</v>
      </c>
      <c r="C61" s="33" t="s">
        <v>275</v>
      </c>
      <c r="D61" s="12" t="s">
        <v>93</v>
      </c>
      <c r="E61" s="38">
        <v>0.65</v>
      </c>
      <c r="F61" s="39" t="s">
        <v>22</v>
      </c>
      <c r="G61" s="34">
        <v>3.0</v>
      </c>
      <c r="H61" s="34">
        <v>1.49</v>
      </c>
      <c r="I61" s="31">
        <f t="shared" si="1"/>
        <v>0.8</v>
      </c>
      <c r="J61" s="40">
        <f t="shared" si="2"/>
        <v>2.4</v>
      </c>
      <c r="K61" s="40">
        <f>IFERROR(__xludf.DUMMYFUNCTION("GOOGLEFINANCE(""CURRENCY:USDEUR"")"),0.8519)</f>
        <v>0.8519</v>
      </c>
      <c r="L61" s="41">
        <f t="shared" si="3"/>
        <v>2.04456</v>
      </c>
      <c r="M61" s="42">
        <v>1.9</v>
      </c>
    </row>
    <row r="62" ht="22.5" customHeight="1">
      <c r="A62" s="33" t="s">
        <v>276</v>
      </c>
      <c r="B62" s="33" t="s">
        <v>276</v>
      </c>
      <c r="C62" s="33" t="s">
        <v>277</v>
      </c>
      <c r="D62" s="12" t="s">
        <v>71</v>
      </c>
      <c r="E62" s="38">
        <v>0.55</v>
      </c>
      <c r="F62" s="39" t="s">
        <v>26</v>
      </c>
      <c r="G62" s="34">
        <v>3.0</v>
      </c>
      <c r="H62" s="34">
        <v>1.49</v>
      </c>
      <c r="I62" s="31">
        <f t="shared" si="1"/>
        <v>0.55</v>
      </c>
      <c r="J62" s="40">
        <f t="shared" si="2"/>
        <v>1.65</v>
      </c>
      <c r="K62" s="40">
        <f>IFERROR(__xludf.DUMMYFUNCTION("GOOGLEFINANCE(""CURRENCY:USDXCD"")"),2.70255)</f>
        <v>2.70255</v>
      </c>
      <c r="L62" s="41">
        <f t="shared" si="3"/>
        <v>4.4592075</v>
      </c>
      <c r="M62" s="42">
        <v>4.39</v>
      </c>
    </row>
    <row r="63" ht="22.5" customHeight="1">
      <c r="A63" s="33" t="s">
        <v>278</v>
      </c>
      <c r="B63" s="33" t="s">
        <v>278</v>
      </c>
      <c r="C63" s="33" t="s">
        <v>279</v>
      </c>
      <c r="D63" s="12" t="s">
        <v>280</v>
      </c>
      <c r="E63" s="38">
        <v>0.3</v>
      </c>
      <c r="F63" s="39" t="s">
        <v>57</v>
      </c>
      <c r="G63" s="34">
        <v>3.0</v>
      </c>
      <c r="H63" s="34">
        <v>1.49</v>
      </c>
      <c r="I63" s="31">
        <f t="shared" si="1"/>
        <v>0.25</v>
      </c>
      <c r="J63" s="40">
        <f t="shared" si="2"/>
        <v>1.49</v>
      </c>
      <c r="K63" s="40">
        <f>IFERROR(__xludf.DUMMYFUNCTION("GOOGLEFINANCE(""CURRENCY:USDGTQ"")"),7.630745999999999)</f>
        <v>7.630746</v>
      </c>
      <c r="L63" s="41">
        <f t="shared" si="3"/>
        <v>11.36981154</v>
      </c>
      <c r="M63" s="42">
        <v>9.9</v>
      </c>
    </row>
    <row r="64" ht="22.5" customHeight="1">
      <c r="A64" s="33" t="s">
        <v>281</v>
      </c>
      <c r="B64" s="33" t="s">
        <v>282</v>
      </c>
      <c r="C64" s="33" t="s">
        <v>283</v>
      </c>
      <c r="D64" s="12" t="s">
        <v>284</v>
      </c>
      <c r="E64" s="38">
        <v>0.15</v>
      </c>
      <c r="F64" s="39" t="s">
        <v>57</v>
      </c>
      <c r="G64" s="34">
        <v>3.0</v>
      </c>
      <c r="H64" s="34">
        <v>1.49</v>
      </c>
      <c r="I64" s="31">
        <f t="shared" si="1"/>
        <v>0.25</v>
      </c>
      <c r="J64" s="40">
        <f t="shared" si="2"/>
        <v>1.49</v>
      </c>
      <c r="K64" s="40">
        <f>IFERROR(__xludf.DUMMYFUNCTION("GOOGLEFINANCE(""CURRENCY:USDGNF"")"),8775.576000000001)</f>
        <v>8775.576</v>
      </c>
      <c r="L64" s="41">
        <f t="shared" si="3"/>
        <v>13075.60824</v>
      </c>
      <c r="M64" s="42">
        <v>9900.0</v>
      </c>
    </row>
    <row r="65" ht="22.5" customHeight="1">
      <c r="A65" s="33" t="s">
        <v>285</v>
      </c>
      <c r="B65" s="33" t="s">
        <v>730</v>
      </c>
      <c r="C65" s="33" t="s">
        <v>287</v>
      </c>
      <c r="D65" s="12" t="s">
        <v>121</v>
      </c>
      <c r="E65" s="38">
        <v>0.15</v>
      </c>
      <c r="F65" s="39" t="s">
        <v>57</v>
      </c>
      <c r="G65" s="34">
        <v>3.0</v>
      </c>
      <c r="H65" s="34">
        <v>1.49</v>
      </c>
      <c r="I65" s="31">
        <f t="shared" si="1"/>
        <v>0.25</v>
      </c>
      <c r="J65" s="40">
        <f t="shared" si="2"/>
        <v>1.49</v>
      </c>
      <c r="K65" s="40">
        <f>IFERROR(__xludf.DUMMYFUNCTION("GOOGLEFINANCE(""CURRENCY:USDXOF"")"),558.7654)</f>
        <v>558.7654</v>
      </c>
      <c r="L65" s="41">
        <f t="shared" si="3"/>
        <v>832.560446</v>
      </c>
      <c r="M65" s="42">
        <v>790.0</v>
      </c>
    </row>
    <row r="66" ht="22.5" customHeight="1">
      <c r="A66" s="33" t="s">
        <v>288</v>
      </c>
      <c r="B66" s="33" t="s">
        <v>288</v>
      </c>
      <c r="C66" s="33" t="s">
        <v>289</v>
      </c>
      <c r="D66" s="12" t="s">
        <v>290</v>
      </c>
      <c r="E66" s="38">
        <v>0.15</v>
      </c>
      <c r="F66" s="39" t="s">
        <v>57</v>
      </c>
      <c r="G66" s="34">
        <v>3.0</v>
      </c>
      <c r="H66" s="34">
        <v>1.49</v>
      </c>
      <c r="I66" s="31">
        <f t="shared" si="1"/>
        <v>0.25</v>
      </c>
      <c r="J66" s="40">
        <f t="shared" si="2"/>
        <v>1.49</v>
      </c>
      <c r="K66" s="40">
        <f>IFERROR(__xludf.DUMMYFUNCTION("GOOGLEFINANCE(""CURRENCY:USDHTG"")"),130.6626)</f>
        <v>130.6626</v>
      </c>
      <c r="L66" s="41">
        <f t="shared" si="3"/>
        <v>194.687274</v>
      </c>
      <c r="M66" s="42">
        <v>189.0</v>
      </c>
    </row>
    <row r="67" ht="22.5" customHeight="1">
      <c r="A67" s="33" t="s">
        <v>291</v>
      </c>
      <c r="B67" s="33" t="s">
        <v>291</v>
      </c>
      <c r="C67" s="33" t="s">
        <v>292</v>
      </c>
      <c r="D67" s="12" t="s">
        <v>293</v>
      </c>
      <c r="E67" s="38">
        <v>0.25</v>
      </c>
      <c r="F67" s="39" t="s">
        <v>57</v>
      </c>
      <c r="G67" s="34">
        <v>3.0</v>
      </c>
      <c r="H67" s="34">
        <v>1.49</v>
      </c>
      <c r="I67" s="31">
        <f t="shared" si="1"/>
        <v>0.25</v>
      </c>
      <c r="J67" s="40">
        <f t="shared" si="2"/>
        <v>1.49</v>
      </c>
      <c r="K67" s="40">
        <f>IFERROR(__xludf.DUMMYFUNCTION("GOOGLEFINANCE(""CURRENCY:USDHNL"")"),26.5942)</f>
        <v>26.5942</v>
      </c>
      <c r="L67" s="41">
        <f t="shared" si="3"/>
        <v>39.625358</v>
      </c>
      <c r="M67" s="42">
        <v>38.9</v>
      </c>
    </row>
    <row r="68" ht="22.5" customHeight="1">
      <c r="A68" s="33" t="s">
        <v>294</v>
      </c>
      <c r="B68" s="33" t="s">
        <v>294</v>
      </c>
      <c r="C68" s="33" t="s">
        <v>295</v>
      </c>
      <c r="D68" s="12" t="s">
        <v>296</v>
      </c>
      <c r="E68" s="38">
        <v>0.95</v>
      </c>
      <c r="F68" s="39" t="s">
        <v>690</v>
      </c>
      <c r="G68" s="34">
        <v>3.0</v>
      </c>
      <c r="H68" s="34">
        <v>1.49</v>
      </c>
      <c r="I68" s="31">
        <f t="shared" si="1"/>
        <v>1</v>
      </c>
      <c r="J68" s="40">
        <f t="shared" si="2"/>
        <v>3</v>
      </c>
      <c r="K68" s="40">
        <f>IFERROR(__xludf.DUMMYFUNCTION("GOOGLEFINANCE(""CURRENCY:USDHKD"")"),7.82905)</f>
        <v>7.82905</v>
      </c>
      <c r="L68" s="41">
        <f t="shared" si="3"/>
        <v>23.48715</v>
      </c>
      <c r="M68" s="42">
        <v>22.9</v>
      </c>
    </row>
    <row r="69" ht="22.5" customHeight="1">
      <c r="A69" s="33" t="s">
        <v>297</v>
      </c>
      <c r="B69" s="33" t="s">
        <v>699</v>
      </c>
      <c r="C69" s="33" t="s">
        <v>299</v>
      </c>
      <c r="D69" s="12" t="s">
        <v>300</v>
      </c>
      <c r="E69" s="38">
        <v>0.5</v>
      </c>
      <c r="F69" s="39" t="s">
        <v>26</v>
      </c>
      <c r="G69" s="34">
        <v>3.0</v>
      </c>
      <c r="H69" s="34">
        <v>1.49</v>
      </c>
      <c r="I69" s="31">
        <f t="shared" si="1"/>
        <v>0.55</v>
      </c>
      <c r="J69" s="40">
        <f t="shared" si="2"/>
        <v>1.65</v>
      </c>
      <c r="K69" s="40">
        <f>IFERROR(__xludf.DUMMYFUNCTION("GOOGLEFINANCE(""CURRENCY:USDHUF"")"),304.6995)</f>
        <v>304.6995</v>
      </c>
      <c r="L69" s="41">
        <f t="shared" si="3"/>
        <v>502.754175</v>
      </c>
      <c r="M69" s="42">
        <v>490.0</v>
      </c>
    </row>
    <row r="70" ht="22.5" customHeight="1">
      <c r="A70" s="33" t="s">
        <v>301</v>
      </c>
      <c r="B70" s="33" t="s">
        <v>731</v>
      </c>
      <c r="C70" s="33" t="s">
        <v>303</v>
      </c>
      <c r="D70" s="12" t="s">
        <v>304</v>
      </c>
      <c r="E70" s="38">
        <v>0.95</v>
      </c>
      <c r="F70" s="39" t="s">
        <v>690</v>
      </c>
      <c r="G70" s="34">
        <v>3.0</v>
      </c>
      <c r="H70" s="34">
        <v>1.49</v>
      </c>
      <c r="I70" s="31">
        <f t="shared" si="1"/>
        <v>1</v>
      </c>
      <c r="J70" s="40">
        <f t="shared" si="2"/>
        <v>3</v>
      </c>
      <c r="K70" s="40">
        <f>IFERROR(__xludf.DUMMYFUNCTION("GOOGLEFINANCE(""CURRENCY:USDISK"")"),122.34)</f>
        <v>122.34</v>
      </c>
      <c r="L70" s="41">
        <f t="shared" si="3"/>
        <v>367.02</v>
      </c>
      <c r="M70" s="42">
        <v>349.0</v>
      </c>
    </row>
    <row r="71" ht="22.5" customHeight="1">
      <c r="A71" s="33" t="s">
        <v>305</v>
      </c>
      <c r="B71" s="33" t="s">
        <v>732</v>
      </c>
      <c r="C71" s="33" t="s">
        <v>307</v>
      </c>
      <c r="D71" s="17" t="s">
        <v>308</v>
      </c>
      <c r="E71" s="38">
        <v>0.2</v>
      </c>
      <c r="F71" s="39" t="s">
        <v>30</v>
      </c>
      <c r="G71" s="34">
        <v>3.0</v>
      </c>
      <c r="H71" s="34">
        <v>1.49</v>
      </c>
      <c r="I71" s="31">
        <f t="shared" si="1"/>
        <v>0.3</v>
      </c>
      <c r="J71" s="40">
        <f t="shared" si="2"/>
        <v>1.49</v>
      </c>
      <c r="K71" s="43">
        <f>IFERROR(__xludf.DUMMYFUNCTION("GOOGLEFINANCE(""CURRENCY:USDINR"")"),95.6405)</f>
        <v>95.6405</v>
      </c>
      <c r="L71" s="41">
        <f t="shared" si="3"/>
        <v>142.504345</v>
      </c>
      <c r="M71" s="42">
        <v>139.0</v>
      </c>
    </row>
    <row r="72" ht="22.5" customHeight="1">
      <c r="A72" s="33" t="s">
        <v>311</v>
      </c>
      <c r="B72" s="33" t="s">
        <v>312</v>
      </c>
      <c r="C72" s="33" t="s">
        <v>313</v>
      </c>
      <c r="D72" s="17" t="s">
        <v>314</v>
      </c>
      <c r="E72" s="38">
        <v>0.25</v>
      </c>
      <c r="F72" s="39" t="s">
        <v>30</v>
      </c>
      <c r="G72" s="34">
        <v>3.0</v>
      </c>
      <c r="H72" s="34">
        <v>1.49</v>
      </c>
      <c r="I72" s="31">
        <f t="shared" si="1"/>
        <v>0.3</v>
      </c>
      <c r="J72" s="40">
        <f t="shared" si="2"/>
        <v>1.49</v>
      </c>
      <c r="K72" s="43">
        <f>IFERROR(__xludf.DUMMYFUNCTION("GOOGLEFINANCE(""CURRENCY:USDIDR"")"),17547.0)</f>
        <v>17547</v>
      </c>
      <c r="L72" s="41">
        <f t="shared" si="3"/>
        <v>26145.03</v>
      </c>
      <c r="M72" s="42">
        <v>24900.0</v>
      </c>
    </row>
    <row r="73" ht="22.5" customHeight="1">
      <c r="A73" s="33" t="s">
        <v>316</v>
      </c>
      <c r="B73" s="33" t="s">
        <v>317</v>
      </c>
      <c r="C73" s="33" t="s">
        <v>318</v>
      </c>
      <c r="D73" s="12" t="s">
        <v>319</v>
      </c>
      <c r="E73" s="38">
        <v>0.3</v>
      </c>
      <c r="F73" s="39" t="s">
        <v>57</v>
      </c>
      <c r="G73" s="34">
        <v>3.0</v>
      </c>
      <c r="H73" s="34">
        <v>1.49</v>
      </c>
      <c r="I73" s="31">
        <f t="shared" si="1"/>
        <v>0.25</v>
      </c>
      <c r="J73" s="40">
        <f t="shared" si="2"/>
        <v>1.49</v>
      </c>
      <c r="K73" s="40">
        <f>IFERROR(__xludf.DUMMYFUNCTION("GOOGLEFINANCE(""CURRENCY:USDIQD"")"),1310.107)</f>
        <v>1310.107</v>
      </c>
      <c r="L73" s="41">
        <f t="shared" si="3"/>
        <v>1952.05943</v>
      </c>
      <c r="M73" s="42">
        <v>1890.0</v>
      </c>
    </row>
    <row r="74" ht="22.5" customHeight="1">
      <c r="A74" s="33" t="s">
        <v>320</v>
      </c>
      <c r="B74" s="33" t="s">
        <v>321</v>
      </c>
      <c r="C74" s="33" t="s">
        <v>322</v>
      </c>
      <c r="D74" s="12" t="s">
        <v>93</v>
      </c>
      <c r="E74" s="38">
        <v>0.9</v>
      </c>
      <c r="F74" s="39" t="s">
        <v>22</v>
      </c>
      <c r="G74" s="34">
        <v>3.0</v>
      </c>
      <c r="H74" s="34">
        <v>1.49</v>
      </c>
      <c r="I74" s="31">
        <f t="shared" si="1"/>
        <v>0.8</v>
      </c>
      <c r="J74" s="40">
        <f t="shared" si="2"/>
        <v>2.4</v>
      </c>
      <c r="K74" s="40">
        <f>IFERROR(__xludf.DUMMYFUNCTION("GOOGLEFINANCE(""CURRENCY:USDEUR"")"),0.8519)</f>
        <v>0.8519</v>
      </c>
      <c r="L74" s="41">
        <f t="shared" si="3"/>
        <v>2.04456</v>
      </c>
      <c r="M74" s="42">
        <v>1.9</v>
      </c>
    </row>
    <row r="75" ht="22.5" customHeight="1">
      <c r="A75" s="33" t="s">
        <v>323</v>
      </c>
      <c r="B75" s="33" t="s">
        <v>324</v>
      </c>
      <c r="C75" s="33" t="s">
        <v>325</v>
      </c>
      <c r="D75" s="12" t="s">
        <v>326</v>
      </c>
      <c r="E75" s="38">
        <v>0.9</v>
      </c>
      <c r="F75" s="39" t="s">
        <v>22</v>
      </c>
      <c r="G75" s="34">
        <v>3.0</v>
      </c>
      <c r="H75" s="34">
        <v>1.49</v>
      </c>
      <c r="I75" s="31">
        <f t="shared" si="1"/>
        <v>0.8</v>
      </c>
      <c r="J75" s="40">
        <f t="shared" si="2"/>
        <v>2.4</v>
      </c>
      <c r="K75" s="40">
        <f>IFERROR(__xludf.DUMMYFUNCTION("GOOGLEFINANCE(""CURRENCY:USDILS"")"),2.91395)</f>
        <v>2.91395</v>
      </c>
      <c r="L75" s="41">
        <f t="shared" si="3"/>
        <v>6.99348</v>
      </c>
      <c r="M75" s="42">
        <v>6.9</v>
      </c>
    </row>
    <row r="76" ht="22.5" customHeight="1">
      <c r="A76" s="33" t="s">
        <v>327</v>
      </c>
      <c r="B76" s="33" t="s">
        <v>328</v>
      </c>
      <c r="C76" s="33" t="s">
        <v>329</v>
      </c>
      <c r="D76" s="12" t="s">
        <v>93</v>
      </c>
      <c r="E76" s="38">
        <v>0.78</v>
      </c>
      <c r="F76" s="39" t="s">
        <v>22</v>
      </c>
      <c r="G76" s="34">
        <v>3.0</v>
      </c>
      <c r="H76" s="34">
        <v>1.49</v>
      </c>
      <c r="I76" s="31">
        <f t="shared" si="1"/>
        <v>0.8</v>
      </c>
      <c r="J76" s="40">
        <f t="shared" si="2"/>
        <v>2.4</v>
      </c>
      <c r="K76" s="40">
        <f>IFERROR(__xludf.DUMMYFUNCTION("GOOGLEFINANCE(""CURRENCY:USDEUR"")"),0.8519)</f>
        <v>0.8519</v>
      </c>
      <c r="L76" s="41">
        <f t="shared" si="3"/>
        <v>2.04456</v>
      </c>
      <c r="M76" s="42">
        <v>1.9</v>
      </c>
    </row>
    <row r="77" ht="22.5" customHeight="1">
      <c r="A77" s="33" t="s">
        <v>330</v>
      </c>
      <c r="B77" s="33" t="s">
        <v>331</v>
      </c>
      <c r="C77" s="33" t="s">
        <v>332</v>
      </c>
      <c r="D77" s="12" t="s">
        <v>333</v>
      </c>
      <c r="E77" s="38">
        <v>0.45</v>
      </c>
      <c r="F77" s="39" t="s">
        <v>26</v>
      </c>
      <c r="G77" s="34">
        <v>3.0</v>
      </c>
      <c r="H77" s="34">
        <v>1.49</v>
      </c>
      <c r="I77" s="31">
        <f t="shared" si="1"/>
        <v>0.55</v>
      </c>
      <c r="J77" s="40">
        <f t="shared" si="2"/>
        <v>1.65</v>
      </c>
      <c r="K77" s="40">
        <f>IFERROR(__xludf.DUMMYFUNCTION("GOOGLEFINANCE(""CURRENCY:USDJMD"")"),158.0319)</f>
        <v>158.0319</v>
      </c>
      <c r="L77" s="41">
        <f t="shared" si="3"/>
        <v>260.752635</v>
      </c>
      <c r="M77" s="42">
        <v>249.0</v>
      </c>
    </row>
    <row r="78" ht="22.5" customHeight="1">
      <c r="A78" s="33" t="s">
        <v>334</v>
      </c>
      <c r="B78" s="33" t="s">
        <v>335</v>
      </c>
      <c r="C78" s="33" t="s">
        <v>336</v>
      </c>
      <c r="D78" s="17" t="s">
        <v>337</v>
      </c>
      <c r="E78" s="38">
        <v>0.9</v>
      </c>
      <c r="F78" s="39" t="s">
        <v>690</v>
      </c>
      <c r="G78" s="34">
        <v>3.0</v>
      </c>
      <c r="H78" s="34">
        <v>1.49</v>
      </c>
      <c r="I78" s="31">
        <f t="shared" si="1"/>
        <v>1</v>
      </c>
      <c r="J78" s="40">
        <f t="shared" si="2"/>
        <v>3</v>
      </c>
      <c r="K78" s="43">
        <f>IFERROR(__xludf.DUMMYFUNCTION("GOOGLEFINANCE(""CURRENCY:USDJPY"")"),157.6045)</f>
        <v>157.6045</v>
      </c>
      <c r="L78" s="41">
        <f t="shared" si="3"/>
        <v>472.8135</v>
      </c>
      <c r="M78" s="42">
        <v>449.0</v>
      </c>
    </row>
    <row r="79" ht="22.5" customHeight="1">
      <c r="A79" s="33" t="s">
        <v>339</v>
      </c>
      <c r="B79" s="33" t="s">
        <v>340</v>
      </c>
      <c r="C79" s="33" t="s">
        <v>341</v>
      </c>
      <c r="D79" s="12" t="s">
        <v>342</v>
      </c>
      <c r="E79" s="38">
        <v>0.45</v>
      </c>
      <c r="F79" s="39" t="s">
        <v>26</v>
      </c>
      <c r="G79" s="34">
        <v>3.0</v>
      </c>
      <c r="H79" s="34">
        <v>1.49</v>
      </c>
      <c r="I79" s="31">
        <f t="shared" si="1"/>
        <v>0.55</v>
      </c>
      <c r="J79" s="40">
        <f t="shared" si="2"/>
        <v>1.65</v>
      </c>
      <c r="K79" s="40">
        <f>IFERROR(__xludf.DUMMYFUNCTION("GOOGLEFINANCE(""CURRENCY:USDJOD"")"),0.709)</f>
        <v>0.709</v>
      </c>
      <c r="L79" s="41">
        <f t="shared" si="3"/>
        <v>1.16985</v>
      </c>
      <c r="M79" s="42">
        <v>0.9</v>
      </c>
    </row>
    <row r="80" ht="22.5" customHeight="1">
      <c r="A80" s="33" t="s">
        <v>343</v>
      </c>
      <c r="B80" s="33" t="s">
        <v>733</v>
      </c>
      <c r="C80" s="33" t="s">
        <v>345</v>
      </c>
      <c r="D80" s="12" t="s">
        <v>346</v>
      </c>
      <c r="E80" s="38">
        <v>0.45</v>
      </c>
      <c r="F80" s="39" t="s">
        <v>26</v>
      </c>
      <c r="G80" s="34">
        <v>3.0</v>
      </c>
      <c r="H80" s="34">
        <v>1.49</v>
      </c>
      <c r="I80" s="31">
        <f t="shared" si="1"/>
        <v>0.55</v>
      </c>
      <c r="J80" s="40">
        <f t="shared" si="2"/>
        <v>1.65</v>
      </c>
      <c r="K80" s="40">
        <f>IFERROR(__xludf.DUMMYFUNCTION("GOOGLEFINANCE(""CURRENCY:USDKZT"")"),463.8784)</f>
        <v>463.8784</v>
      </c>
      <c r="L80" s="41">
        <f t="shared" si="3"/>
        <v>765.39936</v>
      </c>
      <c r="M80" s="42">
        <v>749.0</v>
      </c>
    </row>
    <row r="81" ht="22.5" customHeight="1">
      <c r="A81" s="33" t="s">
        <v>347</v>
      </c>
      <c r="B81" s="33" t="s">
        <v>347</v>
      </c>
      <c r="C81" s="33" t="s">
        <v>348</v>
      </c>
      <c r="D81" s="12" t="s">
        <v>349</v>
      </c>
      <c r="E81" s="38">
        <v>0.22</v>
      </c>
      <c r="F81" s="39" t="s">
        <v>57</v>
      </c>
      <c r="G81" s="34">
        <v>3.0</v>
      </c>
      <c r="H81" s="34">
        <v>1.49</v>
      </c>
      <c r="I81" s="31">
        <f t="shared" si="1"/>
        <v>0.25</v>
      </c>
      <c r="J81" s="40">
        <f t="shared" si="2"/>
        <v>1.49</v>
      </c>
      <c r="K81" s="40">
        <f>IFERROR(__xludf.DUMMYFUNCTION("GOOGLEFINANCE(""CURRENCY:USDKES"")"),129.16)</f>
        <v>129.16</v>
      </c>
      <c r="L81" s="41">
        <f t="shared" si="3"/>
        <v>192.4484</v>
      </c>
      <c r="M81" s="42">
        <v>189.0</v>
      </c>
    </row>
    <row r="82" ht="22.5" customHeight="1">
      <c r="A82" s="33" t="s">
        <v>350</v>
      </c>
      <c r="B82" s="33" t="s">
        <v>351</v>
      </c>
      <c r="C82" s="33" t="s">
        <v>352</v>
      </c>
      <c r="D82" s="12" t="s">
        <v>353</v>
      </c>
      <c r="E82" s="38">
        <v>0.9</v>
      </c>
      <c r="F82" s="39" t="s">
        <v>690</v>
      </c>
      <c r="G82" s="34">
        <v>3.0</v>
      </c>
      <c r="H82" s="34">
        <v>1.49</v>
      </c>
      <c r="I82" s="31">
        <f t="shared" si="1"/>
        <v>1</v>
      </c>
      <c r="J82" s="40">
        <f t="shared" si="2"/>
        <v>3</v>
      </c>
      <c r="K82" s="40">
        <f>IFERROR(__xludf.DUMMYFUNCTION("GOOGLEFINANCE(""CURRENCY:USDKWD"")"),0.3081)</f>
        <v>0.3081</v>
      </c>
      <c r="L82" s="41">
        <f t="shared" si="3"/>
        <v>0.9243</v>
      </c>
      <c r="M82" s="42">
        <v>0.89</v>
      </c>
    </row>
    <row r="83" ht="22.5" customHeight="1">
      <c r="A83" s="33" t="s">
        <v>354</v>
      </c>
      <c r="B83" s="33" t="s">
        <v>734</v>
      </c>
      <c r="C83" s="33" t="s">
        <v>356</v>
      </c>
      <c r="D83" s="12" t="s">
        <v>357</v>
      </c>
      <c r="E83" s="38">
        <v>0.25</v>
      </c>
      <c r="F83" s="39" t="s">
        <v>57</v>
      </c>
      <c r="G83" s="34">
        <v>3.0</v>
      </c>
      <c r="H83" s="34">
        <v>1.49</v>
      </c>
      <c r="I83" s="31">
        <f t="shared" si="1"/>
        <v>0.25</v>
      </c>
      <c r="J83" s="40">
        <f t="shared" si="2"/>
        <v>1.49</v>
      </c>
      <c r="K83" s="40">
        <f>IFERROR(__xludf.DUMMYFUNCTION("GOOGLEFINANCE(""CURRENCY:USDKGS"")"),87.45)</f>
        <v>87.45</v>
      </c>
      <c r="L83" s="41">
        <f t="shared" si="3"/>
        <v>130.3005</v>
      </c>
      <c r="M83" s="42">
        <v>119.0</v>
      </c>
    </row>
    <row r="84" ht="22.5" customHeight="1">
      <c r="A84" s="33" t="s">
        <v>358</v>
      </c>
      <c r="B84" s="33" t="s">
        <v>735</v>
      </c>
      <c r="C84" s="33" t="s">
        <v>360</v>
      </c>
      <c r="D84" s="12" t="s">
        <v>361</v>
      </c>
      <c r="E84" s="38">
        <v>0.18</v>
      </c>
      <c r="F84" s="39" t="s">
        <v>57</v>
      </c>
      <c r="G84" s="34">
        <v>3.0</v>
      </c>
      <c r="H84" s="34">
        <v>1.49</v>
      </c>
      <c r="I84" s="31">
        <f t="shared" si="1"/>
        <v>0.25</v>
      </c>
      <c r="J84" s="40">
        <f t="shared" si="2"/>
        <v>1.49</v>
      </c>
      <c r="K84" s="40">
        <f>IFERROR(__xludf.DUMMYFUNCTION("GOOGLEFINANCE(""CURRENCY:USDLAK"")"),21924.27)</f>
        <v>21924.27</v>
      </c>
      <c r="L84" s="41">
        <f t="shared" si="3"/>
        <v>32667.1623</v>
      </c>
      <c r="M84" s="42">
        <v>29900.0</v>
      </c>
    </row>
    <row r="85" ht="22.5" customHeight="1">
      <c r="A85" s="33" t="s">
        <v>362</v>
      </c>
      <c r="B85" s="33" t="s">
        <v>363</v>
      </c>
      <c r="C85" s="33" t="s">
        <v>364</v>
      </c>
      <c r="D85" s="12" t="s">
        <v>93</v>
      </c>
      <c r="E85" s="38">
        <v>0.6</v>
      </c>
      <c r="F85" s="39" t="s">
        <v>26</v>
      </c>
      <c r="G85" s="34">
        <v>3.0</v>
      </c>
      <c r="H85" s="34">
        <v>1.49</v>
      </c>
      <c r="I85" s="31">
        <f t="shared" si="1"/>
        <v>0.55</v>
      </c>
      <c r="J85" s="40">
        <f t="shared" si="2"/>
        <v>1.65</v>
      </c>
      <c r="K85" s="40">
        <f>IFERROR(__xludf.DUMMYFUNCTION("GOOGLEFINANCE(""CURRENCY:USDEUR"")"),0.8519)</f>
        <v>0.8519</v>
      </c>
      <c r="L85" s="41">
        <f t="shared" si="3"/>
        <v>1.405635</v>
      </c>
      <c r="M85" s="42">
        <v>0.99</v>
      </c>
    </row>
    <row r="86" ht="22.5" customHeight="1">
      <c r="A86" s="33" t="s">
        <v>365</v>
      </c>
      <c r="B86" s="33" t="s">
        <v>736</v>
      </c>
      <c r="C86" s="33" t="s">
        <v>367</v>
      </c>
      <c r="D86" s="12" t="s">
        <v>368</v>
      </c>
      <c r="E86" s="38">
        <v>0.4</v>
      </c>
      <c r="F86" s="39" t="s">
        <v>26</v>
      </c>
      <c r="G86" s="34">
        <v>3.0</v>
      </c>
      <c r="H86" s="34">
        <v>1.49</v>
      </c>
      <c r="I86" s="31">
        <f t="shared" si="1"/>
        <v>0.55</v>
      </c>
      <c r="J86" s="40">
        <f t="shared" si="2"/>
        <v>1.65</v>
      </c>
      <c r="K86" s="40">
        <f>IFERROR(__xludf.DUMMYFUNCTION("GOOGLEFINANCE(""CURRENCY:USDLBP"")"),89559.52)</f>
        <v>89559.52</v>
      </c>
      <c r="L86" s="41">
        <f t="shared" si="3"/>
        <v>147773.208</v>
      </c>
      <c r="M86" s="42">
        <v>139000.0</v>
      </c>
    </row>
    <row r="87" ht="22.5" customHeight="1">
      <c r="A87" s="33" t="s">
        <v>369</v>
      </c>
      <c r="B87" s="33" t="s">
        <v>370</v>
      </c>
      <c r="C87" s="33" t="s">
        <v>371</v>
      </c>
      <c r="D87" s="12" t="s">
        <v>372</v>
      </c>
      <c r="E87" s="38">
        <v>0.18</v>
      </c>
      <c r="F87" s="39" t="s">
        <v>57</v>
      </c>
      <c r="G87" s="34">
        <v>3.0</v>
      </c>
      <c r="H87" s="34">
        <v>1.49</v>
      </c>
      <c r="I87" s="31">
        <f t="shared" si="1"/>
        <v>0.25</v>
      </c>
      <c r="J87" s="40">
        <f t="shared" si="2"/>
        <v>1.49</v>
      </c>
      <c r="K87" s="40">
        <f>IFERROR(__xludf.DUMMYFUNCTION("GOOGLEFINANCE(""CURRENCY:USDLRD"")"),183.0247)</f>
        <v>183.0247</v>
      </c>
      <c r="L87" s="41">
        <f t="shared" si="3"/>
        <v>272.706803</v>
      </c>
      <c r="M87" s="42">
        <v>249.0</v>
      </c>
    </row>
    <row r="88" ht="22.5" customHeight="1">
      <c r="A88" s="33" t="s">
        <v>373</v>
      </c>
      <c r="B88" s="33" t="s">
        <v>373</v>
      </c>
      <c r="C88" s="33" t="s">
        <v>374</v>
      </c>
      <c r="D88" s="12" t="s">
        <v>375</v>
      </c>
      <c r="E88" s="38">
        <v>0.35</v>
      </c>
      <c r="F88" s="39" t="s">
        <v>30</v>
      </c>
      <c r="G88" s="34">
        <v>3.0</v>
      </c>
      <c r="H88" s="34">
        <v>1.49</v>
      </c>
      <c r="I88" s="31">
        <f t="shared" si="1"/>
        <v>0.3</v>
      </c>
      <c r="J88" s="40">
        <f t="shared" si="2"/>
        <v>1.49</v>
      </c>
      <c r="K88" s="40">
        <f>IFERROR(__xludf.DUMMYFUNCTION("GOOGLEFINANCE(""CURRENCY:USDLYD"")"),6.3274099999999995)</f>
        <v>6.32741</v>
      </c>
      <c r="L88" s="41">
        <f t="shared" si="3"/>
        <v>9.4278409</v>
      </c>
      <c r="M88" s="42">
        <v>9.39</v>
      </c>
    </row>
    <row r="89" ht="22.5" customHeight="1">
      <c r="A89" s="33" t="s">
        <v>376</v>
      </c>
      <c r="B89" s="33" t="s">
        <v>737</v>
      </c>
      <c r="C89" s="33" t="s">
        <v>378</v>
      </c>
      <c r="D89" s="12" t="s">
        <v>379</v>
      </c>
      <c r="E89" s="38">
        <v>1.0</v>
      </c>
      <c r="F89" s="39" t="s">
        <v>690</v>
      </c>
      <c r="G89" s="34">
        <v>3.0</v>
      </c>
      <c r="H89" s="34">
        <v>1.49</v>
      </c>
      <c r="I89" s="31">
        <f t="shared" si="1"/>
        <v>1</v>
      </c>
      <c r="J89" s="40">
        <f t="shared" si="2"/>
        <v>3</v>
      </c>
      <c r="K89" s="40">
        <f>IFERROR(__xludf.DUMMYFUNCTION("GOOGLEFINANCE(""CURRENCY:USDCHF"")"),0.78042)</f>
        <v>0.78042</v>
      </c>
      <c r="L89" s="41">
        <f t="shared" si="3"/>
        <v>2.34126</v>
      </c>
      <c r="M89" s="42">
        <v>2.19</v>
      </c>
    </row>
    <row r="90" ht="22.5" customHeight="1">
      <c r="A90" s="33" t="s">
        <v>380</v>
      </c>
      <c r="B90" s="33" t="s">
        <v>738</v>
      </c>
      <c r="C90" s="33" t="s">
        <v>382</v>
      </c>
      <c r="D90" s="12" t="s">
        <v>93</v>
      </c>
      <c r="E90" s="38">
        <v>0.65</v>
      </c>
      <c r="F90" s="39" t="s">
        <v>26</v>
      </c>
      <c r="G90" s="34">
        <v>3.0</v>
      </c>
      <c r="H90" s="34">
        <v>1.49</v>
      </c>
      <c r="I90" s="31">
        <f t="shared" si="1"/>
        <v>0.55</v>
      </c>
      <c r="J90" s="40">
        <f t="shared" si="2"/>
        <v>1.65</v>
      </c>
      <c r="K90" s="40">
        <f>IFERROR(__xludf.DUMMYFUNCTION("GOOGLEFINANCE(""CURRENCY:USDEUR"")"),0.8519)</f>
        <v>0.8519</v>
      </c>
      <c r="L90" s="41">
        <f t="shared" si="3"/>
        <v>1.405635</v>
      </c>
      <c r="M90" s="42">
        <v>1.39</v>
      </c>
    </row>
    <row r="91" ht="22.5" customHeight="1">
      <c r="A91" s="33" t="s">
        <v>383</v>
      </c>
      <c r="B91" s="33" t="s">
        <v>739</v>
      </c>
      <c r="C91" s="33" t="s">
        <v>385</v>
      </c>
      <c r="D91" s="12" t="s">
        <v>93</v>
      </c>
      <c r="E91" s="38">
        <v>1.0</v>
      </c>
      <c r="F91" s="39" t="s">
        <v>690</v>
      </c>
      <c r="G91" s="34">
        <v>3.0</v>
      </c>
      <c r="H91" s="34">
        <v>1.49</v>
      </c>
      <c r="I91" s="31">
        <f t="shared" si="1"/>
        <v>1</v>
      </c>
      <c r="J91" s="40">
        <f t="shared" si="2"/>
        <v>3</v>
      </c>
      <c r="K91" s="40">
        <f>IFERROR(__xludf.DUMMYFUNCTION("GOOGLEFINANCE(""CURRENCY:USDEUR"")"),0.8519)</f>
        <v>0.8519</v>
      </c>
      <c r="L91" s="41">
        <f t="shared" si="3"/>
        <v>2.5557</v>
      </c>
      <c r="M91" s="42">
        <v>2.49</v>
      </c>
    </row>
    <row r="92" ht="22.5" customHeight="1">
      <c r="A92" s="33" t="s">
        <v>386</v>
      </c>
      <c r="B92" s="33" t="s">
        <v>740</v>
      </c>
      <c r="C92" s="33" t="s">
        <v>388</v>
      </c>
      <c r="D92" s="12" t="s">
        <v>389</v>
      </c>
      <c r="E92" s="38">
        <v>0.85</v>
      </c>
      <c r="F92" s="39" t="s">
        <v>22</v>
      </c>
      <c r="G92" s="34">
        <v>3.0</v>
      </c>
      <c r="H92" s="34">
        <v>1.49</v>
      </c>
      <c r="I92" s="31">
        <f t="shared" si="1"/>
        <v>0.8</v>
      </c>
      <c r="J92" s="40">
        <f t="shared" si="2"/>
        <v>2.4</v>
      </c>
      <c r="K92" s="40">
        <f>IFERROR(__xludf.DUMMYFUNCTION("GOOGLEFINANCE(""CURRENCY:USDMOP"")"),8.064551999999999)</f>
        <v>8.064552</v>
      </c>
      <c r="L92" s="41">
        <f t="shared" si="3"/>
        <v>19.3549248</v>
      </c>
      <c r="M92" s="42">
        <v>18.9</v>
      </c>
    </row>
    <row r="93" ht="22.5" customHeight="1">
      <c r="A93" s="33" t="s">
        <v>390</v>
      </c>
      <c r="B93" s="33" t="s">
        <v>700</v>
      </c>
      <c r="C93" s="33" t="s">
        <v>392</v>
      </c>
      <c r="D93" s="12" t="s">
        <v>393</v>
      </c>
      <c r="E93" s="38">
        <v>0.5</v>
      </c>
      <c r="F93" s="39" t="s">
        <v>26</v>
      </c>
      <c r="G93" s="34">
        <v>3.0</v>
      </c>
      <c r="H93" s="34">
        <v>1.49</v>
      </c>
      <c r="I93" s="31">
        <f t="shared" si="1"/>
        <v>0.55</v>
      </c>
      <c r="J93" s="40">
        <f t="shared" si="2"/>
        <v>1.65</v>
      </c>
      <c r="K93" s="40">
        <f>IFERROR(__xludf.DUMMYFUNCTION("GOOGLEFINANCE(""CURRENCY:USDMYR"")"),3.9339999999999997)</f>
        <v>3.934</v>
      </c>
      <c r="L93" s="41">
        <f t="shared" si="3"/>
        <v>6.4911</v>
      </c>
      <c r="M93" s="42">
        <v>6.39</v>
      </c>
    </row>
    <row r="94" ht="22.5" customHeight="1">
      <c r="A94" s="33" t="s">
        <v>394</v>
      </c>
      <c r="B94" s="33" t="s">
        <v>741</v>
      </c>
      <c r="C94" s="33" t="s">
        <v>396</v>
      </c>
      <c r="D94" s="12" t="s">
        <v>397</v>
      </c>
      <c r="E94" s="38">
        <v>0.45</v>
      </c>
      <c r="F94" s="39" t="s">
        <v>26</v>
      </c>
      <c r="G94" s="34">
        <v>3.0</v>
      </c>
      <c r="H94" s="34">
        <v>1.49</v>
      </c>
      <c r="I94" s="31">
        <f t="shared" si="1"/>
        <v>0.55</v>
      </c>
      <c r="J94" s="40">
        <f t="shared" si="2"/>
        <v>1.65</v>
      </c>
      <c r="K94" s="40">
        <f>IFERROR(__xludf.DUMMYFUNCTION("GOOGLEFINANCE(""CURRENCY:USDMVR"")"),15.400000000000002)</f>
        <v>15.4</v>
      </c>
      <c r="L94" s="41">
        <f t="shared" si="3"/>
        <v>25.41</v>
      </c>
      <c r="M94" s="42">
        <v>24.9</v>
      </c>
    </row>
    <row r="95" ht="22.5" customHeight="1">
      <c r="A95" s="33" t="s">
        <v>398</v>
      </c>
      <c r="B95" s="33" t="s">
        <v>398</v>
      </c>
      <c r="C95" s="33" t="s">
        <v>399</v>
      </c>
      <c r="D95" s="12" t="s">
        <v>121</v>
      </c>
      <c r="E95" s="38">
        <v>0.15</v>
      </c>
      <c r="F95" s="39" t="s">
        <v>57</v>
      </c>
      <c r="G95" s="34">
        <v>3.0</v>
      </c>
      <c r="H95" s="34">
        <v>1.49</v>
      </c>
      <c r="I95" s="31">
        <f t="shared" si="1"/>
        <v>0.25</v>
      </c>
      <c r="J95" s="40">
        <f t="shared" si="2"/>
        <v>1.49</v>
      </c>
      <c r="K95" s="40">
        <f>IFERROR(__xludf.DUMMYFUNCTION("GOOGLEFINANCE(""CURRENCY:USDXOF"")"),558.7654)</f>
        <v>558.7654</v>
      </c>
      <c r="L95" s="41">
        <f t="shared" si="3"/>
        <v>832.560446</v>
      </c>
      <c r="M95" s="42">
        <v>790.0</v>
      </c>
    </row>
    <row r="96" ht="22.5" customHeight="1">
      <c r="A96" s="33" t="s">
        <v>400</v>
      </c>
      <c r="B96" s="33" t="s">
        <v>400</v>
      </c>
      <c r="C96" s="33" t="s">
        <v>401</v>
      </c>
      <c r="D96" s="12" t="s">
        <v>93</v>
      </c>
      <c r="E96" s="38">
        <v>0.75</v>
      </c>
      <c r="F96" s="39" t="s">
        <v>22</v>
      </c>
      <c r="G96" s="34">
        <v>3.0</v>
      </c>
      <c r="H96" s="34">
        <v>1.49</v>
      </c>
      <c r="I96" s="31">
        <f t="shared" si="1"/>
        <v>0.8</v>
      </c>
      <c r="J96" s="40">
        <f t="shared" si="2"/>
        <v>2.4</v>
      </c>
      <c r="K96" s="40">
        <f>IFERROR(__xludf.DUMMYFUNCTION("GOOGLEFINANCE(""CURRENCY:USDEUR"")"),0.8519)</f>
        <v>0.8519</v>
      </c>
      <c r="L96" s="41">
        <f t="shared" si="3"/>
        <v>2.04456</v>
      </c>
      <c r="M96" s="42">
        <v>1.9</v>
      </c>
    </row>
    <row r="97" ht="22.5" customHeight="1">
      <c r="A97" s="33" t="s">
        <v>402</v>
      </c>
      <c r="B97" s="33" t="s">
        <v>402</v>
      </c>
      <c r="C97" s="33" t="s">
        <v>404</v>
      </c>
      <c r="D97" s="12" t="s">
        <v>405</v>
      </c>
      <c r="E97" s="38">
        <v>0.22</v>
      </c>
      <c r="F97" s="39" t="s">
        <v>57</v>
      </c>
      <c r="G97" s="34">
        <v>3.0</v>
      </c>
      <c r="H97" s="34">
        <v>1.49</v>
      </c>
      <c r="I97" s="31">
        <f t="shared" si="1"/>
        <v>0.25</v>
      </c>
      <c r="J97" s="40">
        <f t="shared" si="2"/>
        <v>1.49</v>
      </c>
      <c r="K97" s="40">
        <f>IFERROR(__xludf.DUMMYFUNCTION("GOOGLEFINANCE(""CURRENCY:USDMUR"")"),46.7)</f>
        <v>46.7</v>
      </c>
      <c r="L97" s="41">
        <f t="shared" si="3"/>
        <v>69.583</v>
      </c>
      <c r="M97" s="42">
        <v>64.9</v>
      </c>
    </row>
    <row r="98" ht="22.5" customHeight="1">
      <c r="A98" s="33" t="s">
        <v>406</v>
      </c>
      <c r="B98" s="33" t="s">
        <v>407</v>
      </c>
      <c r="C98" s="33" t="s">
        <v>408</v>
      </c>
      <c r="D98" s="17" t="s">
        <v>409</v>
      </c>
      <c r="E98" s="38">
        <v>0.4</v>
      </c>
      <c r="F98" s="39" t="s">
        <v>26</v>
      </c>
      <c r="G98" s="34">
        <v>3.0</v>
      </c>
      <c r="H98" s="34">
        <v>1.49</v>
      </c>
      <c r="I98" s="31">
        <f t="shared" si="1"/>
        <v>0.55</v>
      </c>
      <c r="J98" s="40">
        <f t="shared" si="2"/>
        <v>1.65</v>
      </c>
      <c r="K98" s="43">
        <f>IFERROR(__xludf.DUMMYFUNCTION("GOOGLEFINANCE(""CURRENCY:USDMXN"")"),17.2269)</f>
        <v>17.2269</v>
      </c>
      <c r="L98" s="41">
        <f t="shared" si="3"/>
        <v>28.424385</v>
      </c>
      <c r="M98" s="42">
        <v>24.9</v>
      </c>
    </row>
    <row r="99" ht="22.5" customHeight="1">
      <c r="A99" s="33" t="s">
        <v>411</v>
      </c>
      <c r="B99" s="33" t="s">
        <v>742</v>
      </c>
      <c r="C99" s="33" t="s">
        <v>413</v>
      </c>
      <c r="D99" s="12" t="s">
        <v>226</v>
      </c>
      <c r="E99" s="38">
        <v>0.3</v>
      </c>
      <c r="F99" s="39" t="s">
        <v>57</v>
      </c>
      <c r="G99" s="34">
        <v>3.0</v>
      </c>
      <c r="H99" s="34">
        <v>1.49</v>
      </c>
      <c r="I99" s="31">
        <f t="shared" si="1"/>
        <v>0.25</v>
      </c>
      <c r="J99" s="40">
        <f t="shared" si="2"/>
        <v>1.49</v>
      </c>
      <c r="K99" s="40" t="str">
        <f>IFERROR(__xludf.DUMMYFUNCTION("GOOGLEFINANCE(""CURRENCY:USDUSD"")"),"#N/A")</f>
        <v>#N/A</v>
      </c>
      <c r="L99" s="41" t="str">
        <f t="shared" si="3"/>
        <v>#N/A</v>
      </c>
      <c r="M99" s="44"/>
    </row>
    <row r="100" ht="22.5" customHeight="1">
      <c r="A100" s="33" t="s">
        <v>414</v>
      </c>
      <c r="B100" s="33" t="s">
        <v>743</v>
      </c>
      <c r="C100" s="33" t="s">
        <v>416</v>
      </c>
      <c r="D100" s="12" t="s">
        <v>417</v>
      </c>
      <c r="E100" s="38">
        <v>0.3</v>
      </c>
      <c r="F100" s="39" t="s">
        <v>57</v>
      </c>
      <c r="G100" s="34">
        <v>3.0</v>
      </c>
      <c r="H100" s="34">
        <v>1.49</v>
      </c>
      <c r="I100" s="31">
        <f t="shared" si="1"/>
        <v>0.25</v>
      </c>
      <c r="J100" s="40">
        <f t="shared" si="2"/>
        <v>1.49</v>
      </c>
      <c r="K100" s="40">
        <f>IFERROR(__xludf.DUMMYFUNCTION("GOOGLEFINANCE(""CURRENCY:USDMDL"")"),17.116570000000003)</f>
        <v>17.11657</v>
      </c>
      <c r="L100" s="41">
        <f t="shared" si="3"/>
        <v>25.5036893</v>
      </c>
      <c r="M100" s="42">
        <v>24.9</v>
      </c>
    </row>
    <row r="101" ht="22.5" customHeight="1">
      <c r="A101" s="33" t="s">
        <v>418</v>
      </c>
      <c r="B101" s="33" t="s">
        <v>744</v>
      </c>
      <c r="C101" s="33" t="s">
        <v>420</v>
      </c>
      <c r="D101" s="12" t="s">
        <v>93</v>
      </c>
      <c r="E101" s="38">
        <v>1.0</v>
      </c>
      <c r="F101" s="39" t="s">
        <v>690</v>
      </c>
      <c r="G101" s="34">
        <v>3.0</v>
      </c>
      <c r="H101" s="34">
        <v>1.49</v>
      </c>
      <c r="I101" s="31">
        <f t="shared" si="1"/>
        <v>1</v>
      </c>
      <c r="J101" s="40">
        <f t="shared" si="2"/>
        <v>3</v>
      </c>
      <c r="K101" s="40">
        <f>IFERROR(__xludf.DUMMYFUNCTION("GOOGLEFINANCE(""CURRENCY:USDEUR"")"),0.8519)</f>
        <v>0.8519</v>
      </c>
      <c r="L101" s="41">
        <f t="shared" si="3"/>
        <v>2.5557</v>
      </c>
      <c r="M101" s="42">
        <v>2.49</v>
      </c>
    </row>
    <row r="102" ht="22.5" customHeight="1">
      <c r="A102" s="33" t="s">
        <v>421</v>
      </c>
      <c r="B102" s="33" t="s">
        <v>745</v>
      </c>
      <c r="C102" s="33" t="s">
        <v>423</v>
      </c>
      <c r="D102" s="12" t="s">
        <v>424</v>
      </c>
      <c r="E102" s="38">
        <v>0.3</v>
      </c>
      <c r="F102" s="39" t="s">
        <v>57</v>
      </c>
      <c r="G102" s="34">
        <v>3.0</v>
      </c>
      <c r="H102" s="34">
        <v>1.49</v>
      </c>
      <c r="I102" s="31">
        <f t="shared" si="1"/>
        <v>0.25</v>
      </c>
      <c r="J102" s="40">
        <f t="shared" si="2"/>
        <v>1.49</v>
      </c>
      <c r="K102" s="40">
        <f>IFERROR(__xludf.DUMMYFUNCTION("GOOGLEFINANCE(""CURRENCY:USDMNT"")"),1.50172698603)</f>
        <v>1.501726986</v>
      </c>
      <c r="L102" s="41">
        <f t="shared" si="3"/>
        <v>2.237573209</v>
      </c>
      <c r="M102" s="42">
        <v>2.19</v>
      </c>
    </row>
    <row r="103" ht="22.5" customHeight="1">
      <c r="A103" s="33" t="s">
        <v>425</v>
      </c>
      <c r="B103" s="33" t="s">
        <v>426</v>
      </c>
      <c r="C103" s="33" t="s">
        <v>427</v>
      </c>
      <c r="D103" s="12" t="s">
        <v>428</v>
      </c>
      <c r="E103" s="38">
        <v>0.3</v>
      </c>
      <c r="F103" s="39" t="s">
        <v>57</v>
      </c>
      <c r="G103" s="34">
        <v>3.0</v>
      </c>
      <c r="H103" s="34">
        <v>1.49</v>
      </c>
      <c r="I103" s="31">
        <f t="shared" si="1"/>
        <v>0.25</v>
      </c>
      <c r="J103" s="40">
        <f t="shared" si="2"/>
        <v>1.49</v>
      </c>
      <c r="K103" s="40">
        <f>IFERROR(__xludf.DUMMYFUNCTION("GOOGLEFINANCE(""CURRENCY:USDMAD"")"),9.127507)</f>
        <v>9.127507</v>
      </c>
      <c r="L103" s="41">
        <f t="shared" si="3"/>
        <v>13.59998543</v>
      </c>
      <c r="M103" s="42">
        <v>12.9</v>
      </c>
    </row>
    <row r="104" ht="22.5" customHeight="1">
      <c r="A104" s="33" t="s">
        <v>429</v>
      </c>
      <c r="B104" s="33" t="s">
        <v>746</v>
      </c>
      <c r="C104" s="33" t="s">
        <v>431</v>
      </c>
      <c r="D104" s="12" t="s">
        <v>432</v>
      </c>
      <c r="E104" s="38">
        <v>0.18</v>
      </c>
      <c r="F104" s="39" t="s">
        <v>57</v>
      </c>
      <c r="G104" s="34">
        <v>3.0</v>
      </c>
      <c r="H104" s="34">
        <v>1.49</v>
      </c>
      <c r="I104" s="31">
        <f t="shared" si="1"/>
        <v>0.25</v>
      </c>
      <c r="J104" s="40">
        <f t="shared" si="2"/>
        <v>1.49</v>
      </c>
      <c r="K104" s="40">
        <f>IFERROR(__xludf.DUMMYFUNCTION("GOOGLEFINANCE(""CURRENCY:USDMZN"")"),63.910000000000004)</f>
        <v>63.91</v>
      </c>
      <c r="L104" s="41">
        <f t="shared" si="3"/>
        <v>95.2259</v>
      </c>
      <c r="M104" s="42">
        <v>89.0</v>
      </c>
    </row>
    <row r="105" ht="22.5" customHeight="1">
      <c r="A105" s="33" t="s">
        <v>433</v>
      </c>
      <c r="B105" s="33" t="s">
        <v>747</v>
      </c>
      <c r="C105" s="33" t="s">
        <v>435</v>
      </c>
      <c r="D105" s="12" t="s">
        <v>436</v>
      </c>
      <c r="E105" s="38">
        <v>0.18</v>
      </c>
      <c r="F105" s="39" t="s">
        <v>57</v>
      </c>
      <c r="G105" s="34">
        <v>3.0</v>
      </c>
      <c r="H105" s="34">
        <v>1.49</v>
      </c>
      <c r="I105" s="31">
        <f t="shared" si="1"/>
        <v>0.25</v>
      </c>
      <c r="J105" s="40">
        <f t="shared" si="2"/>
        <v>1.49</v>
      </c>
      <c r="K105" s="40" t="str">
        <f>IFERROR(__xludf.DUMMYFUNCTION("GOOGLEFINANCE(""CURRENCY:USDMMK"")"),"#N/A")</f>
        <v>#N/A</v>
      </c>
      <c r="L105" s="41" t="str">
        <f t="shared" si="3"/>
        <v>#N/A</v>
      </c>
      <c r="M105" s="44"/>
    </row>
    <row r="106" ht="22.5" customHeight="1">
      <c r="A106" s="33" t="s">
        <v>437</v>
      </c>
      <c r="B106" s="33" t="s">
        <v>748</v>
      </c>
      <c r="C106" s="33" t="s">
        <v>439</v>
      </c>
      <c r="D106" s="12" t="s">
        <v>440</v>
      </c>
      <c r="E106" s="38">
        <v>0.35</v>
      </c>
      <c r="F106" s="39" t="s">
        <v>30</v>
      </c>
      <c r="G106" s="34">
        <v>3.0</v>
      </c>
      <c r="H106" s="34">
        <v>1.49</v>
      </c>
      <c r="I106" s="31">
        <f t="shared" si="1"/>
        <v>0.3</v>
      </c>
      <c r="J106" s="40">
        <f t="shared" si="2"/>
        <v>1.49</v>
      </c>
      <c r="K106" s="40">
        <f>IFERROR(__xludf.DUMMYFUNCTION("GOOGLEFINANCE(""CURRENCY:USDNAD"")"),16.531370000000003)</f>
        <v>16.53137</v>
      </c>
      <c r="L106" s="41">
        <f t="shared" si="3"/>
        <v>24.6317413</v>
      </c>
      <c r="M106" s="42">
        <v>23.9</v>
      </c>
    </row>
    <row r="107" ht="22.5" customHeight="1">
      <c r="A107" s="33" t="s">
        <v>441</v>
      </c>
      <c r="B107" s="33" t="s">
        <v>441</v>
      </c>
      <c r="C107" s="33" t="s">
        <v>442</v>
      </c>
      <c r="D107" s="12" t="s">
        <v>443</v>
      </c>
      <c r="E107" s="38">
        <v>0.15</v>
      </c>
      <c r="F107" s="39" t="s">
        <v>57</v>
      </c>
      <c r="G107" s="34">
        <v>3.0</v>
      </c>
      <c r="H107" s="34">
        <v>1.49</v>
      </c>
      <c r="I107" s="31">
        <f t="shared" si="1"/>
        <v>0.25</v>
      </c>
      <c r="J107" s="40">
        <f t="shared" si="2"/>
        <v>1.49</v>
      </c>
      <c r="K107" s="40">
        <f>IFERROR(__xludf.DUMMYFUNCTION("GOOGLEFINANCE(""CURRENCY:USDNPR"")"),152.9439)</f>
        <v>152.9439</v>
      </c>
      <c r="L107" s="41">
        <f t="shared" si="3"/>
        <v>227.886411</v>
      </c>
      <c r="M107" s="42">
        <v>219.0</v>
      </c>
    </row>
    <row r="108" ht="22.5" customHeight="1">
      <c r="A108" s="33" t="s">
        <v>444</v>
      </c>
      <c r="B108" s="33" t="s">
        <v>701</v>
      </c>
      <c r="C108" s="33" t="s">
        <v>446</v>
      </c>
      <c r="D108" s="12" t="s">
        <v>93</v>
      </c>
      <c r="E108" s="38">
        <v>0.88</v>
      </c>
      <c r="F108" s="39" t="s">
        <v>690</v>
      </c>
      <c r="G108" s="34">
        <v>3.0</v>
      </c>
      <c r="H108" s="34">
        <v>1.49</v>
      </c>
      <c r="I108" s="31">
        <f t="shared" si="1"/>
        <v>1</v>
      </c>
      <c r="J108" s="40">
        <f t="shared" si="2"/>
        <v>3</v>
      </c>
      <c r="K108" s="40">
        <f>IFERROR(__xludf.DUMMYFUNCTION("GOOGLEFINANCE(""CURRENCY:USDEUR"")"),0.8519)</f>
        <v>0.8519</v>
      </c>
      <c r="L108" s="41">
        <f t="shared" si="3"/>
        <v>2.5557</v>
      </c>
      <c r="M108" s="42">
        <v>2.39</v>
      </c>
    </row>
    <row r="109" ht="22.5" customHeight="1">
      <c r="A109" s="33" t="s">
        <v>447</v>
      </c>
      <c r="B109" s="33" t="s">
        <v>704</v>
      </c>
      <c r="C109" s="33" t="s">
        <v>449</v>
      </c>
      <c r="D109" s="12" t="s">
        <v>450</v>
      </c>
      <c r="E109" s="38">
        <v>0.9</v>
      </c>
      <c r="F109" s="39" t="s">
        <v>690</v>
      </c>
      <c r="G109" s="34">
        <v>3.0</v>
      </c>
      <c r="H109" s="34">
        <v>1.49</v>
      </c>
      <c r="I109" s="31">
        <f t="shared" si="1"/>
        <v>1</v>
      </c>
      <c r="J109" s="40">
        <f t="shared" si="2"/>
        <v>3</v>
      </c>
      <c r="K109" s="40">
        <f>IFERROR(__xludf.DUMMYFUNCTION("GOOGLEFINANCE(""CURRENCY:USDNZD"")"),1.67947)</f>
        <v>1.67947</v>
      </c>
      <c r="L109" s="41">
        <f t="shared" si="3"/>
        <v>5.03841</v>
      </c>
      <c r="M109" s="42">
        <v>4.9</v>
      </c>
    </row>
    <row r="110" ht="22.5" customHeight="1">
      <c r="A110" s="33" t="s">
        <v>451</v>
      </c>
      <c r="B110" s="33" t="s">
        <v>749</v>
      </c>
      <c r="C110" s="33" t="s">
        <v>453</v>
      </c>
      <c r="D110" s="12" t="s">
        <v>454</v>
      </c>
      <c r="E110" s="38">
        <v>0.25</v>
      </c>
      <c r="F110" s="39" t="s">
        <v>57</v>
      </c>
      <c r="G110" s="34">
        <v>3.0</v>
      </c>
      <c r="H110" s="34">
        <v>1.49</v>
      </c>
      <c r="I110" s="31">
        <f t="shared" si="1"/>
        <v>0.25</v>
      </c>
      <c r="J110" s="40">
        <f t="shared" si="2"/>
        <v>1.49</v>
      </c>
      <c r="K110" s="40">
        <f>IFERROR(__xludf.DUMMYFUNCTION("GOOGLEFINANCE(""CURRENCY:USDNIO"")"),36.80767)</f>
        <v>36.80767</v>
      </c>
      <c r="L110" s="41">
        <f t="shared" si="3"/>
        <v>54.8434283</v>
      </c>
      <c r="M110" s="42">
        <v>49.0</v>
      </c>
    </row>
    <row r="111" ht="22.5" customHeight="1">
      <c r="A111" s="33" t="s">
        <v>455</v>
      </c>
      <c r="B111" s="33" t="s">
        <v>456</v>
      </c>
      <c r="C111" s="33" t="s">
        <v>457</v>
      </c>
      <c r="D111" s="12" t="s">
        <v>121</v>
      </c>
      <c r="E111" s="38">
        <v>0.12</v>
      </c>
      <c r="F111" s="39" t="s">
        <v>57</v>
      </c>
      <c r="G111" s="34">
        <v>3.0</v>
      </c>
      <c r="H111" s="34">
        <v>1.49</v>
      </c>
      <c r="I111" s="31">
        <f t="shared" si="1"/>
        <v>0.25</v>
      </c>
      <c r="J111" s="40">
        <f t="shared" si="2"/>
        <v>1.49</v>
      </c>
      <c r="K111" s="40">
        <f>IFERROR(__xludf.DUMMYFUNCTION("GOOGLEFINANCE(""CURRENCY:USDXOF"")"),558.7654)</f>
        <v>558.7654</v>
      </c>
      <c r="L111" s="41">
        <f t="shared" si="3"/>
        <v>832.560446</v>
      </c>
      <c r="M111" s="42">
        <v>790.0</v>
      </c>
    </row>
    <row r="112" ht="22.5" customHeight="1">
      <c r="A112" s="33" t="s">
        <v>458</v>
      </c>
      <c r="B112" s="33" t="s">
        <v>459</v>
      </c>
      <c r="C112" s="33" t="s">
        <v>460</v>
      </c>
      <c r="D112" s="12" t="s">
        <v>461</v>
      </c>
      <c r="E112" s="38">
        <v>0.2</v>
      </c>
      <c r="F112" s="39" t="s">
        <v>30</v>
      </c>
      <c r="G112" s="34">
        <v>3.0</v>
      </c>
      <c r="H112" s="34">
        <v>1.49</v>
      </c>
      <c r="I112" s="31">
        <f t="shared" si="1"/>
        <v>0.3</v>
      </c>
      <c r="J112" s="40">
        <f t="shared" si="2"/>
        <v>1.49</v>
      </c>
      <c r="K112" s="40">
        <f>IFERROR(__xludf.DUMMYFUNCTION("GOOGLEFINANCE(""CURRENCY:USDNGN"")"),1370.74)</f>
        <v>1370.74</v>
      </c>
      <c r="L112" s="41">
        <f t="shared" si="3"/>
        <v>2042.4026</v>
      </c>
      <c r="M112" s="42">
        <v>1900.0</v>
      </c>
    </row>
    <row r="113" ht="22.5" customHeight="1">
      <c r="A113" s="33" t="s">
        <v>462</v>
      </c>
      <c r="B113" s="33" t="s">
        <v>706</v>
      </c>
      <c r="C113" s="33" t="s">
        <v>464</v>
      </c>
      <c r="D113" s="12" t="s">
        <v>465</v>
      </c>
      <c r="E113" s="38">
        <v>0.95</v>
      </c>
      <c r="F113" s="39" t="s">
        <v>690</v>
      </c>
      <c r="G113" s="34">
        <v>3.0</v>
      </c>
      <c r="H113" s="34">
        <v>1.49</v>
      </c>
      <c r="I113" s="31">
        <f t="shared" si="1"/>
        <v>1</v>
      </c>
      <c r="J113" s="40">
        <f t="shared" si="2"/>
        <v>3</v>
      </c>
      <c r="K113" s="40">
        <f>IFERROR(__xludf.DUMMYFUNCTION("GOOGLEFINANCE(""CURRENCY:USDNOK"")"),9.18441)</f>
        <v>9.18441</v>
      </c>
      <c r="L113" s="41">
        <f t="shared" si="3"/>
        <v>27.55323</v>
      </c>
      <c r="M113" s="42">
        <v>26.9</v>
      </c>
    </row>
    <row r="114" ht="22.5" customHeight="1">
      <c r="A114" s="33" t="s">
        <v>466</v>
      </c>
      <c r="B114" s="33" t="s">
        <v>467</v>
      </c>
      <c r="C114" s="33" t="s">
        <v>468</v>
      </c>
      <c r="D114" s="12" t="s">
        <v>469</v>
      </c>
      <c r="E114" s="38">
        <v>0.75</v>
      </c>
      <c r="F114" s="39" t="s">
        <v>22</v>
      </c>
      <c r="G114" s="34">
        <v>3.0</v>
      </c>
      <c r="H114" s="34">
        <v>1.49</v>
      </c>
      <c r="I114" s="31">
        <f t="shared" si="1"/>
        <v>0.8</v>
      </c>
      <c r="J114" s="40">
        <f t="shared" si="2"/>
        <v>2.4</v>
      </c>
      <c r="K114" s="40">
        <f>IFERROR(__xludf.DUMMYFUNCTION("GOOGLEFINANCE(""CURRENCY:USDOMR"")"),0.38450399999999996)</f>
        <v>0.384504</v>
      </c>
      <c r="L114" s="41">
        <f t="shared" si="3"/>
        <v>0.9228096</v>
      </c>
      <c r="M114" s="42">
        <v>0.89</v>
      </c>
    </row>
    <row r="115" ht="22.5" customHeight="1">
      <c r="A115" s="33" t="s">
        <v>470</v>
      </c>
      <c r="B115" s="33" t="s">
        <v>470</v>
      </c>
      <c r="C115" s="33" t="s">
        <v>472</v>
      </c>
      <c r="D115" s="12" t="s">
        <v>473</v>
      </c>
      <c r="E115" s="38">
        <v>0.18</v>
      </c>
      <c r="F115" s="39" t="s">
        <v>30</v>
      </c>
      <c r="G115" s="34">
        <v>3.0</v>
      </c>
      <c r="H115" s="34">
        <v>1.49</v>
      </c>
      <c r="I115" s="31">
        <f t="shared" si="1"/>
        <v>0.3</v>
      </c>
      <c r="J115" s="40">
        <f t="shared" si="2"/>
        <v>1.49</v>
      </c>
      <c r="K115" s="40">
        <f>IFERROR(__xludf.DUMMYFUNCTION("GOOGLEFINANCE(""CURRENCY:USDPKR"")"),278.607)</f>
        <v>278.607</v>
      </c>
      <c r="L115" s="41">
        <f t="shared" si="3"/>
        <v>415.12443</v>
      </c>
      <c r="M115" s="42">
        <v>390.0</v>
      </c>
    </row>
    <row r="116" ht="22.5" customHeight="1">
      <c r="A116" s="33" t="s">
        <v>474</v>
      </c>
      <c r="B116" s="33" t="s">
        <v>474</v>
      </c>
      <c r="C116" s="33" t="s">
        <v>475</v>
      </c>
      <c r="D116" s="12" t="s">
        <v>476</v>
      </c>
      <c r="E116" s="38">
        <v>0.6</v>
      </c>
      <c r="F116" s="39" t="s">
        <v>26</v>
      </c>
      <c r="G116" s="34">
        <v>3.0</v>
      </c>
      <c r="H116" s="34">
        <v>1.49</v>
      </c>
      <c r="I116" s="31">
        <f t="shared" si="1"/>
        <v>0.55</v>
      </c>
      <c r="J116" s="40">
        <f t="shared" si="2"/>
        <v>1.65</v>
      </c>
      <c r="K116" s="40">
        <f>IFERROR(__xludf.DUMMYFUNCTION("GOOGLEFINANCE(""CURRENCY:USDPAB"")"),1.000141)</f>
        <v>1.000141</v>
      </c>
      <c r="L116" s="41">
        <f t="shared" si="3"/>
        <v>1.65023265</v>
      </c>
      <c r="M116" s="42">
        <v>1.49</v>
      </c>
    </row>
    <row r="117" ht="22.5" customHeight="1">
      <c r="A117" s="33" t="s">
        <v>477</v>
      </c>
      <c r="B117" s="33" t="s">
        <v>750</v>
      </c>
      <c r="C117" s="33" t="s">
        <v>479</v>
      </c>
      <c r="D117" s="12" t="s">
        <v>480</v>
      </c>
      <c r="E117" s="38">
        <v>0.25</v>
      </c>
      <c r="F117" s="39" t="s">
        <v>57</v>
      </c>
      <c r="G117" s="34">
        <v>3.0</v>
      </c>
      <c r="H117" s="34">
        <v>1.49</v>
      </c>
      <c r="I117" s="31">
        <f t="shared" si="1"/>
        <v>0.25</v>
      </c>
      <c r="J117" s="40">
        <f t="shared" si="2"/>
        <v>1.49</v>
      </c>
      <c r="K117" s="40">
        <f>IFERROR(__xludf.DUMMYFUNCTION("GOOGLEFINANCE(""CURRENCY:USDPGK"")"),4.356269999999999)</f>
        <v>4.35627</v>
      </c>
      <c r="L117" s="41">
        <f t="shared" si="3"/>
        <v>6.4908423</v>
      </c>
      <c r="M117" s="42">
        <v>5.9</v>
      </c>
    </row>
    <row r="118" ht="22.5" customHeight="1">
      <c r="A118" s="33" t="s">
        <v>481</v>
      </c>
      <c r="B118" s="33" t="s">
        <v>481</v>
      </c>
      <c r="C118" s="33" t="s">
        <v>482</v>
      </c>
      <c r="D118" s="12" t="s">
        <v>483</v>
      </c>
      <c r="E118" s="38">
        <v>0.35</v>
      </c>
      <c r="F118" s="39" t="s">
        <v>30</v>
      </c>
      <c r="G118" s="34">
        <v>3.0</v>
      </c>
      <c r="H118" s="34">
        <v>1.49</v>
      </c>
      <c r="I118" s="31">
        <f t="shared" si="1"/>
        <v>0.3</v>
      </c>
      <c r="J118" s="40">
        <f t="shared" si="2"/>
        <v>1.49</v>
      </c>
      <c r="K118" s="40">
        <f>IFERROR(__xludf.DUMMYFUNCTION("GOOGLEFINANCE(""CURRENCY:USDPYG"")"),6105.082)</f>
        <v>6105.082</v>
      </c>
      <c r="L118" s="41">
        <f t="shared" si="3"/>
        <v>9096.57218</v>
      </c>
      <c r="M118" s="42">
        <v>8900.0</v>
      </c>
    </row>
    <row r="119" ht="22.5" customHeight="1">
      <c r="A119" s="33" t="s">
        <v>484</v>
      </c>
      <c r="B119" s="33" t="s">
        <v>484</v>
      </c>
      <c r="C119" s="33" t="s">
        <v>485</v>
      </c>
      <c r="D119" s="12" t="s">
        <v>486</v>
      </c>
      <c r="E119" s="38">
        <v>0.35</v>
      </c>
      <c r="F119" s="39" t="s">
        <v>30</v>
      </c>
      <c r="G119" s="34">
        <v>3.0</v>
      </c>
      <c r="H119" s="34">
        <v>1.49</v>
      </c>
      <c r="I119" s="31">
        <f t="shared" si="1"/>
        <v>0.3</v>
      </c>
      <c r="J119" s="40">
        <f t="shared" si="2"/>
        <v>1.49</v>
      </c>
      <c r="K119" s="40">
        <f>IFERROR(__xludf.DUMMYFUNCTION("GOOGLEFINANCE(""CURRENCY:USDPEN"")"),3.427688)</f>
        <v>3.427688</v>
      </c>
      <c r="L119" s="41">
        <f t="shared" si="3"/>
        <v>5.10725512</v>
      </c>
      <c r="M119" s="42">
        <v>4.9</v>
      </c>
    </row>
    <row r="120" ht="22.5" customHeight="1">
      <c r="A120" s="33" t="s">
        <v>487</v>
      </c>
      <c r="B120" s="33" t="s">
        <v>702</v>
      </c>
      <c r="C120" s="33" t="s">
        <v>489</v>
      </c>
      <c r="D120" s="12" t="s">
        <v>490</v>
      </c>
      <c r="E120" s="38">
        <v>0.27</v>
      </c>
      <c r="F120" s="39" t="s">
        <v>30</v>
      </c>
      <c r="G120" s="34">
        <v>3.0</v>
      </c>
      <c r="H120" s="34">
        <v>1.49</v>
      </c>
      <c r="I120" s="31">
        <f t="shared" si="1"/>
        <v>0.3</v>
      </c>
      <c r="J120" s="40">
        <f t="shared" si="2"/>
        <v>1.49</v>
      </c>
      <c r="K120" s="40">
        <f>IFERROR(__xludf.DUMMYFUNCTION("GOOGLEFINANCE(""CURRENCY:USDPHP"")"),61.46750000000001)</f>
        <v>61.4675</v>
      </c>
      <c r="L120" s="41">
        <f t="shared" si="3"/>
        <v>91.586575</v>
      </c>
      <c r="M120" s="42">
        <v>89.0</v>
      </c>
    </row>
    <row r="121" ht="22.5" customHeight="1">
      <c r="A121" s="33" t="s">
        <v>491</v>
      </c>
      <c r="B121" s="33" t="s">
        <v>492</v>
      </c>
      <c r="C121" s="33" t="s">
        <v>493</v>
      </c>
      <c r="D121" s="17" t="s">
        <v>494</v>
      </c>
      <c r="E121" s="38">
        <v>0.55</v>
      </c>
      <c r="F121" s="39" t="s">
        <v>22</v>
      </c>
      <c r="G121" s="34">
        <v>3.0</v>
      </c>
      <c r="H121" s="34">
        <v>1.49</v>
      </c>
      <c r="I121" s="31">
        <f t="shared" si="1"/>
        <v>0.8</v>
      </c>
      <c r="J121" s="40">
        <f t="shared" si="2"/>
        <v>2.4</v>
      </c>
      <c r="K121" s="43">
        <f>IFERROR(__xludf.DUMMYFUNCTION("GOOGLEFINANCE(""CURRENCY:USDPLN"")"),3.6230499999999997)</f>
        <v>3.62305</v>
      </c>
      <c r="L121" s="41">
        <f t="shared" si="3"/>
        <v>8.69532</v>
      </c>
      <c r="M121" s="42">
        <v>8.49</v>
      </c>
    </row>
    <row r="122" ht="22.5" customHeight="1">
      <c r="A122" s="33" t="s">
        <v>495</v>
      </c>
      <c r="B122" s="33" t="s">
        <v>707</v>
      </c>
      <c r="C122" s="33" t="s">
        <v>497</v>
      </c>
      <c r="D122" s="12" t="s">
        <v>93</v>
      </c>
      <c r="E122" s="38">
        <v>0.7</v>
      </c>
      <c r="F122" s="39" t="s">
        <v>22</v>
      </c>
      <c r="G122" s="34">
        <v>3.0</v>
      </c>
      <c r="H122" s="34">
        <v>1.49</v>
      </c>
      <c r="I122" s="31">
        <f t="shared" si="1"/>
        <v>0.8</v>
      </c>
      <c r="J122" s="40">
        <f t="shared" si="2"/>
        <v>2.4</v>
      </c>
      <c r="K122" s="40">
        <f>IFERROR(__xludf.DUMMYFUNCTION("GOOGLEFINANCE(""CURRENCY:USDEUR"")"),0.8519)</f>
        <v>0.8519</v>
      </c>
      <c r="L122" s="41">
        <f t="shared" si="3"/>
        <v>2.04456</v>
      </c>
      <c r="M122" s="42">
        <v>1.9</v>
      </c>
    </row>
    <row r="123" ht="22.5" customHeight="1">
      <c r="A123" s="33" t="s">
        <v>498</v>
      </c>
      <c r="B123" s="33" t="s">
        <v>499</v>
      </c>
      <c r="C123" s="33" t="s">
        <v>500</v>
      </c>
      <c r="D123" s="12" t="s">
        <v>501</v>
      </c>
      <c r="E123" s="38">
        <v>0.95</v>
      </c>
      <c r="F123" s="39" t="s">
        <v>690</v>
      </c>
      <c r="G123" s="34">
        <v>3.0</v>
      </c>
      <c r="H123" s="34">
        <v>1.49</v>
      </c>
      <c r="I123" s="31">
        <f t="shared" si="1"/>
        <v>1</v>
      </c>
      <c r="J123" s="40">
        <f t="shared" si="2"/>
        <v>3</v>
      </c>
      <c r="K123" s="40">
        <f>IFERROR(__xludf.DUMMYFUNCTION("GOOGLEFINANCE(""CURRENCY:USDQAR"")"),3.645602)</f>
        <v>3.645602</v>
      </c>
      <c r="L123" s="41">
        <f t="shared" si="3"/>
        <v>10.936806</v>
      </c>
      <c r="M123" s="42">
        <v>9.9</v>
      </c>
    </row>
    <row r="124" ht="22.5" customHeight="1">
      <c r="A124" s="33" t="s">
        <v>502</v>
      </c>
      <c r="B124" s="33" t="s">
        <v>751</v>
      </c>
      <c r="C124" s="33" t="s">
        <v>504</v>
      </c>
      <c r="D124" s="12" t="s">
        <v>505</v>
      </c>
      <c r="E124" s="38">
        <v>0.45</v>
      </c>
      <c r="F124" s="39" t="s">
        <v>26</v>
      </c>
      <c r="G124" s="34">
        <v>3.0</v>
      </c>
      <c r="H124" s="34">
        <v>1.49</v>
      </c>
      <c r="I124" s="31">
        <f t="shared" si="1"/>
        <v>0.55</v>
      </c>
      <c r="J124" s="40">
        <f t="shared" si="2"/>
        <v>1.65</v>
      </c>
      <c r="K124" s="40">
        <f>IFERROR(__xludf.DUMMYFUNCTION("GOOGLEFINANCE(""CURRENCY:USDMKD"")"),52.50694000000001)</f>
        <v>52.50694</v>
      </c>
      <c r="L124" s="41">
        <f t="shared" si="3"/>
        <v>86.636451</v>
      </c>
      <c r="M124" s="42">
        <v>79.0</v>
      </c>
    </row>
    <row r="125" ht="22.5" customHeight="1">
      <c r="A125" s="33" t="s">
        <v>506</v>
      </c>
      <c r="B125" s="33" t="s">
        <v>705</v>
      </c>
      <c r="C125" s="33" t="s">
        <v>508</v>
      </c>
      <c r="D125" s="12" t="s">
        <v>509</v>
      </c>
      <c r="E125" s="38">
        <v>0.45</v>
      </c>
      <c r="F125" s="39" t="s">
        <v>26</v>
      </c>
      <c r="G125" s="34">
        <v>3.0</v>
      </c>
      <c r="H125" s="34">
        <v>1.49</v>
      </c>
      <c r="I125" s="31">
        <f t="shared" si="1"/>
        <v>0.55</v>
      </c>
      <c r="J125" s="40">
        <f t="shared" si="2"/>
        <v>1.65</v>
      </c>
      <c r="K125" s="40">
        <f>IFERROR(__xludf.DUMMYFUNCTION("GOOGLEFINANCE(""CURRENCY:USDRON"")"),4.4326)</f>
        <v>4.4326</v>
      </c>
      <c r="L125" s="41">
        <f t="shared" si="3"/>
        <v>7.31379</v>
      </c>
      <c r="M125" s="42">
        <v>6.9</v>
      </c>
    </row>
    <row r="126" ht="22.5" customHeight="1">
      <c r="A126" s="33" t="s">
        <v>510</v>
      </c>
      <c r="B126" s="33" t="s">
        <v>752</v>
      </c>
      <c r="C126" s="33" t="s">
        <v>512</v>
      </c>
      <c r="D126" s="12" t="s">
        <v>513</v>
      </c>
      <c r="E126" s="38">
        <v>0.45</v>
      </c>
      <c r="F126" s="39" t="s">
        <v>26</v>
      </c>
      <c r="G126" s="34">
        <v>3.0</v>
      </c>
      <c r="H126" s="34">
        <v>1.49</v>
      </c>
      <c r="I126" s="31">
        <f t="shared" si="1"/>
        <v>0.55</v>
      </c>
      <c r="J126" s="40">
        <f t="shared" si="2"/>
        <v>1.65</v>
      </c>
      <c r="K126" s="40">
        <f>IFERROR(__xludf.DUMMYFUNCTION("GOOGLEFINANCE(""CURRENCY:USDRUB"")"),73.82408000000001)</f>
        <v>73.82408</v>
      </c>
      <c r="L126" s="41">
        <f t="shared" si="3"/>
        <v>121.809732</v>
      </c>
      <c r="M126" s="42">
        <v>119.0</v>
      </c>
    </row>
    <row r="127" ht="22.5" customHeight="1">
      <c r="A127" s="33" t="s">
        <v>514</v>
      </c>
      <c r="B127" s="33" t="s">
        <v>753</v>
      </c>
      <c r="C127" s="33" t="s">
        <v>516</v>
      </c>
      <c r="D127" s="12" t="s">
        <v>517</v>
      </c>
      <c r="E127" s="38">
        <v>0.18</v>
      </c>
      <c r="F127" s="39" t="s">
        <v>57</v>
      </c>
      <c r="G127" s="34">
        <v>3.0</v>
      </c>
      <c r="H127" s="34">
        <v>1.49</v>
      </c>
      <c r="I127" s="31">
        <f t="shared" si="1"/>
        <v>0.25</v>
      </c>
      <c r="J127" s="40">
        <f t="shared" si="2"/>
        <v>1.49</v>
      </c>
      <c r="K127" s="40">
        <f>IFERROR(__xludf.DUMMYFUNCTION("GOOGLEFINANCE(""CURRENCY:USDRWF"")"),1462.766)</f>
        <v>1462.766</v>
      </c>
      <c r="L127" s="41">
        <f t="shared" si="3"/>
        <v>2179.52134</v>
      </c>
      <c r="M127" s="42">
        <v>1990.0</v>
      </c>
    </row>
    <row r="128" ht="22.5" customHeight="1">
      <c r="A128" s="33" t="s">
        <v>518</v>
      </c>
      <c r="B128" s="33" t="s">
        <v>754</v>
      </c>
      <c r="C128" s="33" t="s">
        <v>520</v>
      </c>
      <c r="D128" s="12" t="s">
        <v>71</v>
      </c>
      <c r="E128" s="38">
        <v>0.65</v>
      </c>
      <c r="F128" s="39" t="s">
        <v>26</v>
      </c>
      <c r="G128" s="34">
        <v>3.0</v>
      </c>
      <c r="H128" s="34">
        <v>1.49</v>
      </c>
      <c r="I128" s="31">
        <f t="shared" si="1"/>
        <v>0.55</v>
      </c>
      <c r="J128" s="40">
        <f t="shared" si="2"/>
        <v>1.65</v>
      </c>
      <c r="K128" s="40">
        <f>IFERROR(__xludf.DUMMYFUNCTION("GOOGLEFINANCE(""CURRENCY:USDXCD"")"),2.70255)</f>
        <v>2.70255</v>
      </c>
      <c r="L128" s="41">
        <f t="shared" si="3"/>
        <v>4.4592075</v>
      </c>
      <c r="M128" s="42">
        <v>3.9</v>
      </c>
    </row>
    <row r="129" ht="22.5" customHeight="1">
      <c r="A129" s="33" t="s">
        <v>521</v>
      </c>
      <c r="B129" s="33" t="s">
        <v>521</v>
      </c>
      <c r="C129" s="33" t="s">
        <v>523</v>
      </c>
      <c r="D129" s="12" t="s">
        <v>71</v>
      </c>
      <c r="E129" s="38">
        <v>0.55</v>
      </c>
      <c r="F129" s="39" t="s">
        <v>26</v>
      </c>
      <c r="G129" s="34">
        <v>3.0</v>
      </c>
      <c r="H129" s="34">
        <v>1.49</v>
      </c>
      <c r="I129" s="31">
        <f t="shared" si="1"/>
        <v>0.55</v>
      </c>
      <c r="J129" s="40">
        <f t="shared" si="2"/>
        <v>1.65</v>
      </c>
      <c r="K129" s="40">
        <f>IFERROR(__xludf.DUMMYFUNCTION("GOOGLEFINANCE(""CURRENCY:USDXCD"")"),2.70255)</f>
        <v>2.70255</v>
      </c>
      <c r="L129" s="41">
        <f t="shared" si="3"/>
        <v>4.4592075</v>
      </c>
      <c r="M129" s="42">
        <v>3.9</v>
      </c>
    </row>
    <row r="130" ht="22.5" customHeight="1">
      <c r="A130" s="33" t="s">
        <v>524</v>
      </c>
      <c r="B130" s="33" t="s">
        <v>524</v>
      </c>
      <c r="C130" s="33" t="s">
        <v>525</v>
      </c>
      <c r="D130" s="12" t="s">
        <v>526</v>
      </c>
      <c r="E130" s="38">
        <v>0.3</v>
      </c>
      <c r="F130" s="39" t="s">
        <v>57</v>
      </c>
      <c r="G130" s="34">
        <v>3.0</v>
      </c>
      <c r="H130" s="34">
        <v>1.49</v>
      </c>
      <c r="I130" s="31">
        <f t="shared" si="1"/>
        <v>0.25</v>
      </c>
      <c r="J130" s="40">
        <f t="shared" si="2"/>
        <v>1.49</v>
      </c>
      <c r="K130" s="40" t="str">
        <f>IFERROR(__xludf.DUMMYFUNCTION("GOOGLEFINANCE(""CURRENCY:USDWST"")"),"#N/A")</f>
        <v>#N/A</v>
      </c>
      <c r="L130" s="41" t="str">
        <f t="shared" si="3"/>
        <v>#N/A</v>
      </c>
      <c r="M130" s="44"/>
    </row>
    <row r="131" ht="22.5" customHeight="1">
      <c r="A131" s="33" t="s">
        <v>527</v>
      </c>
      <c r="B131" s="33" t="s">
        <v>527</v>
      </c>
      <c r="C131" s="33" t="s">
        <v>529</v>
      </c>
      <c r="D131" s="12" t="s">
        <v>93</v>
      </c>
      <c r="E131" s="38">
        <v>0.9</v>
      </c>
      <c r="F131" s="39" t="s">
        <v>690</v>
      </c>
      <c r="G131" s="34">
        <v>3.0</v>
      </c>
      <c r="H131" s="34">
        <v>1.49</v>
      </c>
      <c r="I131" s="31">
        <f t="shared" si="1"/>
        <v>1</v>
      </c>
      <c r="J131" s="40">
        <f t="shared" si="2"/>
        <v>3</v>
      </c>
      <c r="K131" s="40">
        <f>IFERROR(__xludf.DUMMYFUNCTION("GOOGLEFINANCE(""CURRENCY:USDEUR"")"),0.8519)</f>
        <v>0.8519</v>
      </c>
      <c r="L131" s="41">
        <f t="shared" si="3"/>
        <v>2.5557</v>
      </c>
      <c r="M131" s="42">
        <v>2.49</v>
      </c>
    </row>
    <row r="132" ht="22.5" customHeight="1">
      <c r="A132" s="33" t="s">
        <v>530</v>
      </c>
      <c r="B132" s="33" t="s">
        <v>709</v>
      </c>
      <c r="C132" s="33" t="s">
        <v>532</v>
      </c>
      <c r="D132" s="12" t="s">
        <v>533</v>
      </c>
      <c r="E132" s="38">
        <v>0.8</v>
      </c>
      <c r="F132" s="39" t="s">
        <v>22</v>
      </c>
      <c r="G132" s="34">
        <v>3.0</v>
      </c>
      <c r="H132" s="34">
        <v>1.49</v>
      </c>
      <c r="I132" s="31">
        <f t="shared" si="1"/>
        <v>0.8</v>
      </c>
      <c r="J132" s="40">
        <f t="shared" si="2"/>
        <v>2.4</v>
      </c>
      <c r="K132" s="40">
        <f>IFERROR(__xludf.DUMMYFUNCTION("GOOGLEFINANCE(""CURRENCY:USDSAR"")"),3.753272)</f>
        <v>3.753272</v>
      </c>
      <c r="L132" s="41">
        <f t="shared" si="3"/>
        <v>9.0078528</v>
      </c>
      <c r="M132" s="42">
        <v>8.9</v>
      </c>
    </row>
    <row r="133" ht="22.5" customHeight="1">
      <c r="A133" s="33" t="s">
        <v>534</v>
      </c>
      <c r="B133" s="33" t="s">
        <v>534</v>
      </c>
      <c r="C133" s="33" t="s">
        <v>536</v>
      </c>
      <c r="D133" s="12" t="s">
        <v>121</v>
      </c>
      <c r="E133" s="38">
        <v>0.2</v>
      </c>
      <c r="F133" s="39" t="s">
        <v>57</v>
      </c>
      <c r="G133" s="34">
        <v>3.0</v>
      </c>
      <c r="H133" s="34">
        <v>1.49</v>
      </c>
      <c r="I133" s="31">
        <f t="shared" si="1"/>
        <v>0.25</v>
      </c>
      <c r="J133" s="40">
        <f t="shared" si="2"/>
        <v>1.49</v>
      </c>
      <c r="K133" s="40">
        <f>IFERROR(__xludf.DUMMYFUNCTION("GOOGLEFINANCE(""CURRENCY:USDXOF"")"),558.7654)</f>
        <v>558.7654</v>
      </c>
      <c r="L133" s="41">
        <f t="shared" si="3"/>
        <v>832.560446</v>
      </c>
      <c r="M133" s="42">
        <v>790.0</v>
      </c>
    </row>
    <row r="134" ht="22.5" customHeight="1">
      <c r="A134" s="33" t="s">
        <v>537</v>
      </c>
      <c r="B134" s="33" t="s">
        <v>538</v>
      </c>
      <c r="C134" s="33" t="s">
        <v>539</v>
      </c>
      <c r="D134" s="12" t="s">
        <v>540</v>
      </c>
      <c r="E134" s="38">
        <v>0.45</v>
      </c>
      <c r="F134" s="39" t="s">
        <v>26</v>
      </c>
      <c r="G134" s="34">
        <v>3.0</v>
      </c>
      <c r="H134" s="34">
        <v>1.49</v>
      </c>
      <c r="I134" s="31">
        <f t="shared" si="1"/>
        <v>0.55</v>
      </c>
      <c r="J134" s="40">
        <f t="shared" si="2"/>
        <v>1.65</v>
      </c>
      <c r="K134" s="40">
        <f>IFERROR(__xludf.DUMMYFUNCTION("GOOGLEFINANCE(""CURRENCY:USDRSD"")"),100.004)</f>
        <v>100.004</v>
      </c>
      <c r="L134" s="41">
        <f t="shared" si="3"/>
        <v>165.0066</v>
      </c>
      <c r="M134" s="42">
        <v>149.0</v>
      </c>
    </row>
    <row r="135" ht="22.5" customHeight="1">
      <c r="A135" s="33" t="s">
        <v>541</v>
      </c>
      <c r="B135" s="33" t="s">
        <v>755</v>
      </c>
      <c r="C135" s="33" t="s">
        <v>543</v>
      </c>
      <c r="D135" s="12" t="s">
        <v>544</v>
      </c>
      <c r="E135" s="38">
        <v>0.65</v>
      </c>
      <c r="F135" s="39" t="s">
        <v>26</v>
      </c>
      <c r="G135" s="34">
        <v>3.0</v>
      </c>
      <c r="H135" s="34">
        <v>1.49</v>
      </c>
      <c r="I135" s="31">
        <f t="shared" si="1"/>
        <v>0.55</v>
      </c>
      <c r="J135" s="40">
        <f t="shared" si="2"/>
        <v>1.65</v>
      </c>
      <c r="K135" s="40">
        <f>IFERROR(__xludf.DUMMYFUNCTION("GOOGLEFINANCE(""CURRENCY:USDSCR"")"),14.111680000000002)</f>
        <v>14.11168</v>
      </c>
      <c r="L135" s="41">
        <f t="shared" si="3"/>
        <v>23.284272</v>
      </c>
      <c r="M135" s="42">
        <v>21.9</v>
      </c>
    </row>
    <row r="136" ht="22.5" customHeight="1">
      <c r="A136" s="33" t="s">
        <v>545</v>
      </c>
      <c r="B136" s="33" t="s">
        <v>545</v>
      </c>
      <c r="C136" s="33" t="s">
        <v>547</v>
      </c>
      <c r="D136" s="12" t="s">
        <v>548</v>
      </c>
      <c r="E136" s="38">
        <v>0.15</v>
      </c>
      <c r="F136" s="39" t="s">
        <v>57</v>
      </c>
      <c r="G136" s="34">
        <v>3.0</v>
      </c>
      <c r="H136" s="34">
        <v>1.49</v>
      </c>
      <c r="I136" s="31">
        <f t="shared" si="1"/>
        <v>0.25</v>
      </c>
      <c r="J136" s="40">
        <f t="shared" si="2"/>
        <v>1.49</v>
      </c>
      <c r="K136" s="40">
        <f>IFERROR(__xludf.DUMMYFUNCTION("GOOGLEFINANCE(""CURRENCY:USDSLE"")"),24.625000000000004)</f>
        <v>24.625</v>
      </c>
      <c r="L136" s="41">
        <f t="shared" si="3"/>
        <v>36.69125</v>
      </c>
      <c r="M136" s="42">
        <v>35.9</v>
      </c>
    </row>
    <row r="137" ht="22.5" customHeight="1">
      <c r="A137" s="33" t="s">
        <v>549</v>
      </c>
      <c r="B137" s="33" t="s">
        <v>708</v>
      </c>
      <c r="C137" s="33" t="s">
        <v>551</v>
      </c>
      <c r="D137" s="12" t="s">
        <v>552</v>
      </c>
      <c r="E137" s="38">
        <v>1.0</v>
      </c>
      <c r="F137" s="39" t="s">
        <v>690</v>
      </c>
      <c r="G137" s="34">
        <v>3.0</v>
      </c>
      <c r="H137" s="34">
        <v>1.49</v>
      </c>
      <c r="I137" s="31">
        <f t="shared" si="1"/>
        <v>1</v>
      </c>
      <c r="J137" s="40">
        <f t="shared" si="2"/>
        <v>3</v>
      </c>
      <c r="K137" s="40">
        <f>IFERROR(__xludf.DUMMYFUNCTION("GOOGLEFINANCE(""CURRENCY:USDSGD"")"),1.271455)</f>
        <v>1.271455</v>
      </c>
      <c r="L137" s="41">
        <f t="shared" si="3"/>
        <v>3.814365</v>
      </c>
      <c r="M137" s="42">
        <v>3.49</v>
      </c>
    </row>
    <row r="138" ht="22.5" customHeight="1">
      <c r="A138" s="33" t="s">
        <v>553</v>
      </c>
      <c r="B138" s="33" t="s">
        <v>756</v>
      </c>
      <c r="C138" s="33" t="s">
        <v>555</v>
      </c>
      <c r="D138" s="12" t="s">
        <v>93</v>
      </c>
      <c r="E138" s="38">
        <v>0.6</v>
      </c>
      <c r="F138" s="39" t="s">
        <v>26</v>
      </c>
      <c r="G138" s="34">
        <v>3.0</v>
      </c>
      <c r="H138" s="34">
        <v>1.49</v>
      </c>
      <c r="I138" s="31">
        <f t="shared" si="1"/>
        <v>0.55</v>
      </c>
      <c r="J138" s="40">
        <f t="shared" si="2"/>
        <v>1.65</v>
      </c>
      <c r="K138" s="40">
        <f>IFERROR(__xludf.DUMMYFUNCTION("GOOGLEFINANCE(""CURRENCY:USDEUR"")"),0.8519)</f>
        <v>0.8519</v>
      </c>
      <c r="L138" s="41">
        <f t="shared" si="3"/>
        <v>1.405635</v>
      </c>
      <c r="M138" s="42">
        <v>1.39</v>
      </c>
    </row>
    <row r="139" ht="22.5" customHeight="1">
      <c r="A139" s="33" t="s">
        <v>556</v>
      </c>
      <c r="B139" s="33" t="s">
        <v>757</v>
      </c>
      <c r="C139" s="33" t="s">
        <v>558</v>
      </c>
      <c r="D139" s="12" t="s">
        <v>93</v>
      </c>
      <c r="E139" s="38">
        <v>0.7</v>
      </c>
      <c r="F139" s="39" t="s">
        <v>26</v>
      </c>
      <c r="G139" s="34">
        <v>3.0</v>
      </c>
      <c r="H139" s="34">
        <v>1.49</v>
      </c>
      <c r="I139" s="31">
        <f t="shared" si="1"/>
        <v>0.55</v>
      </c>
      <c r="J139" s="40">
        <f t="shared" si="2"/>
        <v>1.65</v>
      </c>
      <c r="K139" s="40">
        <f>IFERROR(__xludf.DUMMYFUNCTION("GOOGLEFINANCE(""CURRENCY:USDEUR"")"),0.8519)</f>
        <v>0.8519</v>
      </c>
      <c r="L139" s="41">
        <f t="shared" si="3"/>
        <v>1.405635</v>
      </c>
      <c r="M139" s="42">
        <v>1.39</v>
      </c>
    </row>
    <row r="140" ht="22.5" customHeight="1">
      <c r="A140" s="33" t="s">
        <v>559</v>
      </c>
      <c r="B140" s="33" t="s">
        <v>758</v>
      </c>
      <c r="C140" s="33" t="s">
        <v>561</v>
      </c>
      <c r="D140" s="12" t="s">
        <v>562</v>
      </c>
      <c r="E140" s="38">
        <v>0.22</v>
      </c>
      <c r="F140" s="39" t="s">
        <v>57</v>
      </c>
      <c r="G140" s="34">
        <v>3.0</v>
      </c>
      <c r="H140" s="34">
        <v>1.49</v>
      </c>
      <c r="I140" s="31">
        <f t="shared" si="1"/>
        <v>0.25</v>
      </c>
      <c r="J140" s="40">
        <f t="shared" si="2"/>
        <v>1.49</v>
      </c>
      <c r="K140" s="40">
        <f>IFERROR(__xludf.DUMMYFUNCTION("GOOGLEFINANCE(""CURRENCY:USDSBD"")"),8.029009)</f>
        <v>8.029009</v>
      </c>
      <c r="L140" s="41">
        <f t="shared" si="3"/>
        <v>11.96322341</v>
      </c>
      <c r="M140" s="42">
        <v>9.9</v>
      </c>
    </row>
    <row r="141" ht="22.5" customHeight="1">
      <c r="A141" s="33" t="s">
        <v>563</v>
      </c>
      <c r="B141" s="33" t="s">
        <v>703</v>
      </c>
      <c r="C141" s="33" t="s">
        <v>565</v>
      </c>
      <c r="D141" s="12" t="s">
        <v>566</v>
      </c>
      <c r="E141" s="38">
        <v>0.12</v>
      </c>
      <c r="F141" s="39" t="s">
        <v>57</v>
      </c>
      <c r="G141" s="34">
        <v>3.0</v>
      </c>
      <c r="H141" s="34">
        <v>1.49</v>
      </c>
      <c r="I141" s="31">
        <f t="shared" si="1"/>
        <v>0.25</v>
      </c>
      <c r="J141" s="40">
        <f t="shared" si="2"/>
        <v>1.49</v>
      </c>
      <c r="K141" s="40">
        <f>IFERROR(__xludf.DUMMYFUNCTION("GOOGLEFINANCE(""CURRENCY:USDSOS"")"),571.5795)</f>
        <v>571.5795</v>
      </c>
      <c r="L141" s="41">
        <f t="shared" si="3"/>
        <v>851.653455</v>
      </c>
      <c r="M141" s="42">
        <v>790.0</v>
      </c>
    </row>
    <row r="142" ht="22.5" customHeight="1">
      <c r="A142" s="33" t="s">
        <v>567</v>
      </c>
      <c r="B142" s="33" t="s">
        <v>568</v>
      </c>
      <c r="C142" s="33" t="s">
        <v>569</v>
      </c>
      <c r="D142" s="12" t="s">
        <v>570</v>
      </c>
      <c r="E142" s="38">
        <v>0.35</v>
      </c>
      <c r="F142" s="39" t="s">
        <v>26</v>
      </c>
      <c r="G142" s="34">
        <v>3.0</v>
      </c>
      <c r="H142" s="34">
        <v>1.49</v>
      </c>
      <c r="I142" s="31">
        <f t="shared" si="1"/>
        <v>0.55</v>
      </c>
      <c r="J142" s="40">
        <f t="shared" si="2"/>
        <v>1.65</v>
      </c>
      <c r="K142" s="40">
        <f>IFERROR(__xludf.DUMMYFUNCTION("GOOGLEFINANCE(""CURRENCY:USDZAR"")"),16.514000000000003)</f>
        <v>16.514</v>
      </c>
      <c r="L142" s="41">
        <f t="shared" si="3"/>
        <v>27.2481</v>
      </c>
      <c r="M142" s="42">
        <v>24.9</v>
      </c>
    </row>
    <row r="143" ht="22.5" customHeight="1">
      <c r="A143" s="33" t="s">
        <v>571</v>
      </c>
      <c r="B143" s="45" t="s">
        <v>572</v>
      </c>
      <c r="C143" s="33" t="s">
        <v>573</v>
      </c>
      <c r="D143" s="17" t="s">
        <v>574</v>
      </c>
      <c r="E143" s="38">
        <v>0.8</v>
      </c>
      <c r="F143" s="39" t="s">
        <v>690</v>
      </c>
      <c r="G143" s="34">
        <v>3.0</v>
      </c>
      <c r="H143" s="34">
        <v>1.49</v>
      </c>
      <c r="I143" s="31">
        <f t="shared" si="1"/>
        <v>1</v>
      </c>
      <c r="J143" s="40">
        <f t="shared" si="2"/>
        <v>3</v>
      </c>
      <c r="K143" s="43">
        <f>IFERROR(__xludf.DUMMYFUNCTION("GOOGLEFINANCE(""CURRENCY:USDKRW"")"),1492.1100000000001)</f>
        <v>1492.11</v>
      </c>
      <c r="L143" s="41">
        <f t="shared" si="3"/>
        <v>4476.33</v>
      </c>
      <c r="M143" s="42">
        <v>3900.0</v>
      </c>
    </row>
    <row r="144" ht="22.5" customHeight="1">
      <c r="A144" s="33" t="s">
        <v>576</v>
      </c>
      <c r="B144" s="33" t="s">
        <v>577</v>
      </c>
      <c r="C144" s="33" t="s">
        <v>578</v>
      </c>
      <c r="D144" s="12" t="s">
        <v>93</v>
      </c>
      <c r="E144" s="38">
        <v>0.75</v>
      </c>
      <c r="F144" s="39" t="s">
        <v>22</v>
      </c>
      <c r="G144" s="34">
        <v>3.0</v>
      </c>
      <c r="H144" s="34">
        <v>1.49</v>
      </c>
      <c r="I144" s="31">
        <f t="shared" si="1"/>
        <v>0.8</v>
      </c>
      <c r="J144" s="40">
        <f t="shared" si="2"/>
        <v>2.4</v>
      </c>
      <c r="K144" s="40">
        <f>IFERROR(__xludf.DUMMYFUNCTION("GOOGLEFINANCE(""CURRENCY:USDEUR"")"),0.8519)</f>
        <v>0.8519</v>
      </c>
      <c r="L144" s="41">
        <f t="shared" si="3"/>
        <v>2.04456</v>
      </c>
      <c r="M144" s="42">
        <v>1.9</v>
      </c>
    </row>
    <row r="145" ht="22.5" customHeight="1">
      <c r="A145" s="33" t="s">
        <v>579</v>
      </c>
      <c r="B145" s="33" t="s">
        <v>579</v>
      </c>
      <c r="C145" s="33" t="s">
        <v>580</v>
      </c>
      <c r="D145" s="12" t="s">
        <v>581</v>
      </c>
      <c r="E145" s="38">
        <v>0.2</v>
      </c>
      <c r="F145" s="39" t="s">
        <v>57</v>
      </c>
      <c r="G145" s="34">
        <v>3.0</v>
      </c>
      <c r="H145" s="34">
        <v>1.49</v>
      </c>
      <c r="I145" s="31">
        <f t="shared" si="1"/>
        <v>0.25</v>
      </c>
      <c r="J145" s="40">
        <f t="shared" si="2"/>
        <v>1.49</v>
      </c>
      <c r="K145" s="40">
        <f>IFERROR(__xludf.DUMMYFUNCTION("GOOGLEFINANCE(""CURRENCY:USDLKR"")"),323.0376)</f>
        <v>323.0376</v>
      </c>
      <c r="L145" s="41">
        <f t="shared" si="3"/>
        <v>481.326024</v>
      </c>
      <c r="M145" s="42">
        <v>449.0</v>
      </c>
    </row>
    <row r="146" ht="22.5" customHeight="1">
      <c r="A146" s="33" t="s">
        <v>582</v>
      </c>
      <c r="B146" s="33" t="s">
        <v>583</v>
      </c>
      <c r="C146" s="33" t="s">
        <v>584</v>
      </c>
      <c r="D146" s="12" t="s">
        <v>585</v>
      </c>
      <c r="E146" s="38">
        <v>0.35</v>
      </c>
      <c r="F146" s="39" t="s">
        <v>30</v>
      </c>
      <c r="G146" s="34">
        <v>3.0</v>
      </c>
      <c r="H146" s="34">
        <v>1.49</v>
      </c>
      <c r="I146" s="31">
        <f t="shared" si="1"/>
        <v>0.3</v>
      </c>
      <c r="J146" s="40">
        <f t="shared" si="2"/>
        <v>1.49</v>
      </c>
      <c r="K146" s="40">
        <f>IFERROR(__xludf.DUMMYFUNCTION("GOOGLEFINANCE(""CURRENCY:USDSRD"")"),37.2545)</f>
        <v>37.2545</v>
      </c>
      <c r="L146" s="41">
        <f t="shared" si="3"/>
        <v>55.509205</v>
      </c>
      <c r="M146" s="42">
        <v>59.0</v>
      </c>
    </row>
    <row r="147" ht="22.5" customHeight="1">
      <c r="A147" s="33" t="s">
        <v>586</v>
      </c>
      <c r="B147" s="33" t="s">
        <v>711</v>
      </c>
      <c r="C147" s="33" t="s">
        <v>588</v>
      </c>
      <c r="D147" s="12" t="s">
        <v>589</v>
      </c>
      <c r="E147" s="38">
        <v>0.87</v>
      </c>
      <c r="F147" s="39" t="s">
        <v>690</v>
      </c>
      <c r="G147" s="34">
        <v>3.0</v>
      </c>
      <c r="H147" s="34">
        <v>1.49</v>
      </c>
      <c r="I147" s="31">
        <f t="shared" si="1"/>
        <v>1</v>
      </c>
      <c r="J147" s="40">
        <f t="shared" si="2"/>
        <v>3</v>
      </c>
      <c r="K147" s="40">
        <f>IFERROR(__xludf.DUMMYFUNCTION("GOOGLEFINANCE(""CURRENCY:USDSEK"")"),9.293355)</f>
        <v>9.293355</v>
      </c>
      <c r="L147" s="41">
        <f t="shared" si="3"/>
        <v>27.880065</v>
      </c>
      <c r="M147" s="42">
        <v>24.9</v>
      </c>
    </row>
    <row r="148" ht="22.5" customHeight="1">
      <c r="A148" s="33" t="s">
        <v>590</v>
      </c>
      <c r="B148" s="33" t="s">
        <v>713</v>
      </c>
      <c r="C148" s="33" t="s">
        <v>592</v>
      </c>
      <c r="D148" s="12" t="s">
        <v>593</v>
      </c>
      <c r="E148" s="38">
        <v>1.0</v>
      </c>
      <c r="F148" s="39" t="s">
        <v>690</v>
      </c>
      <c r="G148" s="34">
        <v>3.0</v>
      </c>
      <c r="H148" s="34">
        <v>1.49</v>
      </c>
      <c r="I148" s="31">
        <f t="shared" si="1"/>
        <v>1</v>
      </c>
      <c r="J148" s="40">
        <f t="shared" si="2"/>
        <v>3</v>
      </c>
      <c r="K148" s="40">
        <f>IFERROR(__xludf.DUMMYFUNCTION("GOOGLEFINANCE(""CURRENCY:USDCHF"")"),0.78042)</f>
        <v>0.78042</v>
      </c>
      <c r="L148" s="41">
        <f t="shared" si="3"/>
        <v>2.34126</v>
      </c>
      <c r="M148" s="42">
        <v>2.29</v>
      </c>
    </row>
    <row r="149" ht="22.5" customHeight="1">
      <c r="A149" s="33" t="s">
        <v>594</v>
      </c>
      <c r="B149" s="33" t="s">
        <v>759</v>
      </c>
      <c r="C149" s="33" t="s">
        <v>596</v>
      </c>
      <c r="D149" s="12" t="s">
        <v>597</v>
      </c>
      <c r="E149" s="38">
        <v>0.8</v>
      </c>
      <c r="F149" s="39" t="s">
        <v>22</v>
      </c>
      <c r="G149" s="34">
        <v>3.0</v>
      </c>
      <c r="H149" s="34">
        <v>1.49</v>
      </c>
      <c r="I149" s="31">
        <f t="shared" si="1"/>
        <v>0.8</v>
      </c>
      <c r="J149" s="40">
        <f t="shared" si="2"/>
        <v>2.4</v>
      </c>
      <c r="K149" s="40">
        <f>IFERROR(__xludf.DUMMYFUNCTION("GOOGLEFINANCE(""CURRENCY:USDTWD"")"),31.573000000000004)</f>
        <v>31.573</v>
      </c>
      <c r="L149" s="41">
        <f t="shared" si="3"/>
        <v>75.7752</v>
      </c>
      <c r="M149" s="42">
        <v>69.0</v>
      </c>
    </row>
    <row r="150" ht="22.5" customHeight="1">
      <c r="A150" s="33" t="s">
        <v>598</v>
      </c>
      <c r="B150" s="33" t="s">
        <v>760</v>
      </c>
      <c r="C150" s="33" t="s">
        <v>600</v>
      </c>
      <c r="D150" s="12" t="s">
        <v>601</v>
      </c>
      <c r="E150" s="38">
        <v>0.2</v>
      </c>
      <c r="F150" s="39" t="s">
        <v>57</v>
      </c>
      <c r="G150" s="34">
        <v>3.0</v>
      </c>
      <c r="H150" s="34">
        <v>1.49</v>
      </c>
      <c r="I150" s="31">
        <f t="shared" si="1"/>
        <v>0.25</v>
      </c>
      <c r="J150" s="40">
        <f t="shared" si="2"/>
        <v>1.49</v>
      </c>
      <c r="K150" s="40">
        <f>IFERROR(__xludf.DUMMYFUNCTION("GOOGLEFINANCE(""CURRENCY:USDTJS"")"),9.351073999999999)</f>
        <v>9.351074</v>
      </c>
      <c r="L150" s="41">
        <f t="shared" si="3"/>
        <v>13.93310026</v>
      </c>
      <c r="M150" s="42">
        <v>11.9</v>
      </c>
    </row>
    <row r="151" ht="22.5" customHeight="1">
      <c r="A151" s="33" t="s">
        <v>602</v>
      </c>
      <c r="B151" s="33" t="s">
        <v>603</v>
      </c>
      <c r="C151" s="33" t="s">
        <v>604</v>
      </c>
      <c r="D151" s="12" t="s">
        <v>605</v>
      </c>
      <c r="E151" s="38">
        <v>0.2</v>
      </c>
      <c r="F151" s="39" t="s">
        <v>57</v>
      </c>
      <c r="G151" s="34">
        <v>3.0</v>
      </c>
      <c r="H151" s="34">
        <v>1.49</v>
      </c>
      <c r="I151" s="31">
        <f t="shared" si="1"/>
        <v>0.25</v>
      </c>
      <c r="J151" s="40">
        <f t="shared" si="2"/>
        <v>1.49</v>
      </c>
      <c r="K151" s="40">
        <f>IFERROR(__xludf.DUMMYFUNCTION("GOOGLEFINANCE(""CURRENCY:USDTZS"")"),2600.15)</f>
        <v>2600.15</v>
      </c>
      <c r="L151" s="41">
        <f t="shared" si="3"/>
        <v>3874.2235</v>
      </c>
      <c r="M151" s="42">
        <v>3790.0</v>
      </c>
    </row>
    <row r="152" ht="22.5" customHeight="1">
      <c r="A152" s="33" t="s">
        <v>606</v>
      </c>
      <c r="B152" s="33" t="s">
        <v>607</v>
      </c>
      <c r="C152" s="33" t="s">
        <v>608</v>
      </c>
      <c r="D152" s="17" t="s">
        <v>609</v>
      </c>
      <c r="E152" s="38">
        <v>0.3</v>
      </c>
      <c r="F152" s="39" t="s">
        <v>26</v>
      </c>
      <c r="G152" s="34">
        <v>3.0</v>
      </c>
      <c r="H152" s="34">
        <v>1.49</v>
      </c>
      <c r="I152" s="31">
        <f t="shared" si="1"/>
        <v>0.55</v>
      </c>
      <c r="J152" s="40">
        <f t="shared" si="2"/>
        <v>1.65</v>
      </c>
      <c r="K152" s="43">
        <f>IFERROR(__xludf.DUMMYFUNCTION("GOOGLEFINANCE(""CURRENCY:USDTHB"")"),32.370000000000005)</f>
        <v>32.37</v>
      </c>
      <c r="L152" s="41">
        <f t="shared" si="3"/>
        <v>53.4105</v>
      </c>
      <c r="M152" s="42">
        <v>49.0</v>
      </c>
    </row>
    <row r="153" ht="22.5" customHeight="1">
      <c r="A153" s="33" t="s">
        <v>610</v>
      </c>
      <c r="B153" s="33" t="s">
        <v>610</v>
      </c>
      <c r="C153" s="33" t="s">
        <v>611</v>
      </c>
      <c r="D153" s="12" t="s">
        <v>121</v>
      </c>
      <c r="E153" s="38">
        <v>0.18</v>
      </c>
      <c r="F153" s="39" t="s">
        <v>57</v>
      </c>
      <c r="G153" s="34">
        <v>3.0</v>
      </c>
      <c r="H153" s="34">
        <v>1.49</v>
      </c>
      <c r="I153" s="31">
        <f t="shared" si="1"/>
        <v>0.25</v>
      </c>
      <c r="J153" s="40">
        <f t="shared" si="2"/>
        <v>1.49</v>
      </c>
      <c r="K153" s="40">
        <f>IFERROR(__xludf.DUMMYFUNCTION("GOOGLEFINANCE(""CURRENCY:USDXOF"")"),558.7654)</f>
        <v>558.7654</v>
      </c>
      <c r="L153" s="41">
        <f t="shared" si="3"/>
        <v>832.560446</v>
      </c>
      <c r="M153" s="42">
        <v>790.0</v>
      </c>
    </row>
    <row r="154" ht="22.5" customHeight="1">
      <c r="A154" s="33" t="s">
        <v>612</v>
      </c>
      <c r="B154" s="33" t="s">
        <v>612</v>
      </c>
      <c r="C154" s="33" t="s">
        <v>613</v>
      </c>
      <c r="D154" s="12" t="s">
        <v>614</v>
      </c>
      <c r="E154" s="38">
        <v>0.3</v>
      </c>
      <c r="F154" s="39" t="s">
        <v>57</v>
      </c>
      <c r="G154" s="34">
        <v>3.0</v>
      </c>
      <c r="H154" s="34">
        <v>1.49</v>
      </c>
      <c r="I154" s="31">
        <f t="shared" si="1"/>
        <v>0.25</v>
      </c>
      <c r="J154" s="40">
        <f t="shared" si="2"/>
        <v>1.49</v>
      </c>
      <c r="K154" s="40" t="str">
        <f>IFERROR(__xludf.DUMMYFUNCTION("GOOGLEFINANCE(""CURRENCY:USDTOP"")"),"#N/A")</f>
        <v>#N/A</v>
      </c>
      <c r="L154" s="41" t="str">
        <f t="shared" si="3"/>
        <v>#N/A</v>
      </c>
      <c r="M154" s="44"/>
    </row>
    <row r="155" ht="22.5" customHeight="1">
      <c r="A155" s="33" t="s">
        <v>615</v>
      </c>
      <c r="B155" s="33" t="s">
        <v>761</v>
      </c>
      <c r="C155" s="33" t="s">
        <v>617</v>
      </c>
      <c r="D155" s="12" t="s">
        <v>618</v>
      </c>
      <c r="E155" s="38">
        <v>0.55</v>
      </c>
      <c r="F155" s="39" t="s">
        <v>26</v>
      </c>
      <c r="G155" s="34">
        <v>3.0</v>
      </c>
      <c r="H155" s="34">
        <v>1.49</v>
      </c>
      <c r="I155" s="31">
        <f t="shared" si="1"/>
        <v>0.55</v>
      </c>
      <c r="J155" s="40">
        <f t="shared" si="2"/>
        <v>1.65</v>
      </c>
      <c r="K155" s="40">
        <f>IFERROR(__xludf.DUMMYFUNCTION("GOOGLEFINANCE(""CURRENCY:USDTTD"")"),6.787342)</f>
        <v>6.787342</v>
      </c>
      <c r="L155" s="41">
        <f t="shared" si="3"/>
        <v>11.1991143</v>
      </c>
      <c r="M155" s="42">
        <v>9.9</v>
      </c>
    </row>
    <row r="156" ht="22.5" customHeight="1">
      <c r="A156" s="33" t="s">
        <v>619</v>
      </c>
      <c r="B156" s="33" t="s">
        <v>762</v>
      </c>
      <c r="C156" s="33" t="s">
        <v>621</v>
      </c>
      <c r="D156" s="12" t="s">
        <v>622</v>
      </c>
      <c r="E156" s="38">
        <v>0.3</v>
      </c>
      <c r="F156" s="39" t="s">
        <v>57</v>
      </c>
      <c r="G156" s="34">
        <v>3.0</v>
      </c>
      <c r="H156" s="34">
        <v>1.49</v>
      </c>
      <c r="I156" s="31">
        <f t="shared" si="1"/>
        <v>0.25</v>
      </c>
      <c r="J156" s="40">
        <f t="shared" si="2"/>
        <v>1.49</v>
      </c>
      <c r="K156" s="40">
        <f>IFERROR(__xludf.DUMMYFUNCTION("GOOGLEFINANCE(""CURRENCY:USDTND"")"),2.908594)</f>
        <v>2.908594</v>
      </c>
      <c r="L156" s="41">
        <f t="shared" si="3"/>
        <v>4.33380506</v>
      </c>
      <c r="M156" s="42">
        <v>3.9</v>
      </c>
    </row>
    <row r="157" ht="22.5" customHeight="1">
      <c r="A157" s="33" t="s">
        <v>623</v>
      </c>
      <c r="B157" s="33" t="s">
        <v>710</v>
      </c>
      <c r="C157" s="33" t="s">
        <v>624</v>
      </c>
      <c r="D157" s="17" t="s">
        <v>625</v>
      </c>
      <c r="E157" s="38">
        <v>0.4</v>
      </c>
      <c r="F157" s="39" t="s">
        <v>26</v>
      </c>
      <c r="G157" s="34">
        <v>3.0</v>
      </c>
      <c r="H157" s="34">
        <v>1.49</v>
      </c>
      <c r="I157" s="31">
        <f t="shared" si="1"/>
        <v>0.55</v>
      </c>
      <c r="J157" s="40">
        <f t="shared" si="2"/>
        <v>1.65</v>
      </c>
      <c r="K157" s="43">
        <f>IFERROR(__xludf.DUMMYFUNCTION("GOOGLEFINANCE(""CURRENCY:USDTRY"")"),45.405100000000004)</f>
        <v>45.4051</v>
      </c>
      <c r="L157" s="41">
        <f t="shared" si="3"/>
        <v>74.918415</v>
      </c>
      <c r="M157" s="42">
        <v>69.0</v>
      </c>
    </row>
    <row r="158" ht="22.5" customHeight="1">
      <c r="A158" s="33" t="s">
        <v>627</v>
      </c>
      <c r="B158" s="33" t="s">
        <v>763</v>
      </c>
      <c r="C158" s="33" t="s">
        <v>629</v>
      </c>
      <c r="D158" s="12" t="s">
        <v>630</v>
      </c>
      <c r="E158" s="38">
        <v>0.3</v>
      </c>
      <c r="F158" s="39" t="s">
        <v>57</v>
      </c>
      <c r="G158" s="34">
        <v>3.0</v>
      </c>
      <c r="H158" s="34">
        <v>1.49</v>
      </c>
      <c r="I158" s="31">
        <f t="shared" si="1"/>
        <v>0.25</v>
      </c>
      <c r="J158" s="40">
        <f t="shared" si="2"/>
        <v>1.49</v>
      </c>
      <c r="K158" s="40">
        <f>IFERROR(__xludf.DUMMYFUNCTION("GOOGLEFINANCE(""CURRENCY:USDTMT"")"),3.5)</f>
        <v>3.5</v>
      </c>
      <c r="L158" s="41">
        <f t="shared" si="3"/>
        <v>5.215</v>
      </c>
      <c r="M158" s="42">
        <v>4.9</v>
      </c>
    </row>
    <row r="159" ht="22.5" customHeight="1">
      <c r="A159" s="33" t="s">
        <v>631</v>
      </c>
      <c r="B159" s="33" t="s">
        <v>764</v>
      </c>
      <c r="C159" s="33" t="s">
        <v>633</v>
      </c>
      <c r="D159" s="12" t="s">
        <v>226</v>
      </c>
      <c r="E159" s="38">
        <v>0.8</v>
      </c>
      <c r="F159" s="39" t="s">
        <v>22</v>
      </c>
      <c r="G159" s="34">
        <v>3.0</v>
      </c>
      <c r="H159" s="34">
        <v>1.49</v>
      </c>
      <c r="I159" s="31">
        <f t="shared" si="1"/>
        <v>0.8</v>
      </c>
      <c r="J159" s="40">
        <f t="shared" si="2"/>
        <v>2.4</v>
      </c>
      <c r="K159" s="46">
        <v>1.0</v>
      </c>
      <c r="L159" s="41">
        <f t="shared" si="3"/>
        <v>2.4</v>
      </c>
      <c r="M159" s="42">
        <v>2.39</v>
      </c>
    </row>
    <row r="160" ht="22.5" customHeight="1">
      <c r="A160" s="33" t="s">
        <v>634</v>
      </c>
      <c r="B160" s="33" t="s">
        <v>634</v>
      </c>
      <c r="C160" s="33" t="s">
        <v>635</v>
      </c>
      <c r="D160" s="12" t="s">
        <v>636</v>
      </c>
      <c r="E160" s="38">
        <v>0.18</v>
      </c>
      <c r="F160" s="39" t="s">
        <v>57</v>
      </c>
      <c r="G160" s="34">
        <v>3.0</v>
      </c>
      <c r="H160" s="34">
        <v>1.49</v>
      </c>
      <c r="I160" s="31">
        <f t="shared" si="1"/>
        <v>0.25</v>
      </c>
      <c r="J160" s="40">
        <f t="shared" si="2"/>
        <v>1.49</v>
      </c>
      <c r="K160" s="40">
        <f>IFERROR(__xludf.DUMMYFUNCTION("GOOGLEFINANCE(""CURRENCY:USDUGX"")"),3759.152)</f>
        <v>3759.152</v>
      </c>
      <c r="L160" s="41">
        <f t="shared" si="3"/>
        <v>5601.13648</v>
      </c>
      <c r="M160" s="42">
        <v>4900.0</v>
      </c>
    </row>
    <row r="161" ht="22.5" customHeight="1">
      <c r="A161" s="33" t="s">
        <v>637</v>
      </c>
      <c r="B161" s="33" t="s">
        <v>765</v>
      </c>
      <c r="C161" s="33" t="s">
        <v>639</v>
      </c>
      <c r="D161" s="12" t="s">
        <v>640</v>
      </c>
      <c r="E161" s="38">
        <v>0.35</v>
      </c>
      <c r="F161" s="39" t="s">
        <v>57</v>
      </c>
      <c r="G161" s="34">
        <v>3.0</v>
      </c>
      <c r="H161" s="34">
        <v>1.49</v>
      </c>
      <c r="I161" s="31">
        <f t="shared" si="1"/>
        <v>0.25</v>
      </c>
      <c r="J161" s="40">
        <f t="shared" si="2"/>
        <v>1.49</v>
      </c>
      <c r="K161" s="40">
        <f>IFERROR(__xludf.DUMMYFUNCTION("GOOGLEFINANCE(""CURRENCY:USDUAH"")"),43.956680000000006)</f>
        <v>43.95668</v>
      </c>
      <c r="L161" s="41">
        <f t="shared" si="3"/>
        <v>65.4954532</v>
      </c>
      <c r="M161" s="42">
        <v>59.0</v>
      </c>
    </row>
    <row r="162" ht="22.5" customHeight="1">
      <c r="A162" s="33" t="s">
        <v>641</v>
      </c>
      <c r="B162" s="33" t="s">
        <v>642</v>
      </c>
      <c r="C162" s="33" t="s">
        <v>643</v>
      </c>
      <c r="D162" s="12" t="s">
        <v>644</v>
      </c>
      <c r="E162" s="38">
        <v>0.85</v>
      </c>
      <c r="F162" s="39" t="s">
        <v>690</v>
      </c>
      <c r="G162" s="34">
        <v>3.0</v>
      </c>
      <c r="H162" s="34">
        <v>1.49</v>
      </c>
      <c r="I162" s="31">
        <f t="shared" si="1"/>
        <v>1</v>
      </c>
      <c r="J162" s="40">
        <f t="shared" si="2"/>
        <v>3</v>
      </c>
      <c r="K162" s="40">
        <f>IFERROR(__xludf.DUMMYFUNCTION("GOOGLEFINANCE(""CURRENCY:USDAED"")"),3.6725)</f>
        <v>3.6725</v>
      </c>
      <c r="L162" s="41">
        <f t="shared" si="3"/>
        <v>11.0175</v>
      </c>
      <c r="M162" s="42">
        <v>9.9</v>
      </c>
    </row>
    <row r="163" ht="22.5" customHeight="1">
      <c r="A163" s="33" t="s">
        <v>645</v>
      </c>
      <c r="B163" s="33" t="s">
        <v>766</v>
      </c>
      <c r="C163" s="33" t="s">
        <v>647</v>
      </c>
      <c r="D163" s="17" t="s">
        <v>648</v>
      </c>
      <c r="E163" s="38">
        <v>0.83</v>
      </c>
      <c r="F163" s="39" t="s">
        <v>690</v>
      </c>
      <c r="G163" s="34">
        <v>3.0</v>
      </c>
      <c r="H163" s="34">
        <v>1.49</v>
      </c>
      <c r="I163" s="31">
        <f t="shared" si="1"/>
        <v>1</v>
      </c>
      <c r="J163" s="40">
        <f t="shared" si="2"/>
        <v>3</v>
      </c>
      <c r="K163" s="43">
        <f>IFERROR(__xludf.DUMMYFUNCTION("GOOGLEFINANCE(""CURRENCY:USDGBP"")"),0.738545)</f>
        <v>0.738545</v>
      </c>
      <c r="L163" s="41">
        <f t="shared" si="3"/>
        <v>2.215635</v>
      </c>
      <c r="M163" s="42">
        <v>2.19</v>
      </c>
    </row>
    <row r="164" ht="22.5" customHeight="1">
      <c r="A164" s="33" t="s">
        <v>650</v>
      </c>
      <c r="B164" s="33" t="s">
        <v>767</v>
      </c>
      <c r="C164" s="33" t="s">
        <v>652</v>
      </c>
      <c r="D164" s="17" t="s">
        <v>226</v>
      </c>
      <c r="E164" s="38">
        <v>1.0</v>
      </c>
      <c r="F164" s="39" t="s">
        <v>690</v>
      </c>
      <c r="G164" s="34">
        <v>3.0</v>
      </c>
      <c r="H164" s="34">
        <v>1.49</v>
      </c>
      <c r="I164" s="31">
        <f t="shared" si="1"/>
        <v>1</v>
      </c>
      <c r="J164" s="40">
        <f t="shared" si="2"/>
        <v>3</v>
      </c>
      <c r="K164" s="47">
        <v>1.0</v>
      </c>
      <c r="L164" s="41">
        <f t="shared" si="3"/>
        <v>3</v>
      </c>
      <c r="M164" s="42">
        <v>2.9</v>
      </c>
    </row>
    <row r="165" ht="22.5" customHeight="1">
      <c r="A165" s="33" t="s">
        <v>654</v>
      </c>
      <c r="B165" s="33" t="s">
        <v>654</v>
      </c>
      <c r="C165" s="33" t="s">
        <v>655</v>
      </c>
      <c r="D165" s="12" t="s">
        <v>656</v>
      </c>
      <c r="E165" s="38">
        <v>0.65</v>
      </c>
      <c r="F165" s="39" t="s">
        <v>26</v>
      </c>
      <c r="G165" s="34">
        <v>3.0</v>
      </c>
      <c r="H165" s="34">
        <v>1.49</v>
      </c>
      <c r="I165" s="31">
        <f t="shared" si="1"/>
        <v>0.55</v>
      </c>
      <c r="J165" s="40">
        <f t="shared" si="2"/>
        <v>1.65</v>
      </c>
      <c r="K165" s="40">
        <f>IFERROR(__xludf.DUMMYFUNCTION("GOOGLEFINANCE(""CURRENCY:USDUYU"")"),39.772220000000004)</f>
        <v>39.77222</v>
      </c>
      <c r="L165" s="41">
        <f t="shared" si="3"/>
        <v>65.624163</v>
      </c>
      <c r="M165" s="42">
        <v>59.0</v>
      </c>
    </row>
    <row r="166" ht="22.5" customHeight="1">
      <c r="A166" s="33" t="s">
        <v>657</v>
      </c>
      <c r="B166" s="33" t="s">
        <v>768</v>
      </c>
      <c r="C166" s="33" t="s">
        <v>659</v>
      </c>
      <c r="D166" s="12" t="s">
        <v>660</v>
      </c>
      <c r="E166" s="38">
        <v>0.25</v>
      </c>
      <c r="F166" s="39" t="s">
        <v>57</v>
      </c>
      <c r="G166" s="34">
        <v>3.0</v>
      </c>
      <c r="H166" s="34">
        <v>1.49</v>
      </c>
      <c r="I166" s="31">
        <f t="shared" si="1"/>
        <v>0.25</v>
      </c>
      <c r="J166" s="40">
        <f t="shared" si="2"/>
        <v>1.49</v>
      </c>
      <c r="K166" s="40">
        <f>IFERROR(__xludf.DUMMYFUNCTION("GOOGLEFINANCE(""CURRENCY:USDUZS"")"),12132.65)</f>
        <v>12132.65</v>
      </c>
      <c r="L166" s="41">
        <f t="shared" si="3"/>
        <v>18077.6485</v>
      </c>
      <c r="M166" s="42">
        <v>17900.0</v>
      </c>
    </row>
    <row r="167" ht="22.5" customHeight="1">
      <c r="A167" s="33" t="s">
        <v>661</v>
      </c>
      <c r="B167" s="33" t="s">
        <v>661</v>
      </c>
      <c r="C167" s="33" t="s">
        <v>663</v>
      </c>
      <c r="D167" s="12" t="s">
        <v>664</v>
      </c>
      <c r="E167" s="38">
        <v>0.25</v>
      </c>
      <c r="F167" s="39" t="s">
        <v>57</v>
      </c>
      <c r="G167" s="34">
        <v>3.0</v>
      </c>
      <c r="H167" s="34">
        <v>1.49</v>
      </c>
      <c r="I167" s="31">
        <f t="shared" si="1"/>
        <v>0.25</v>
      </c>
      <c r="J167" s="40">
        <f t="shared" si="2"/>
        <v>1.49</v>
      </c>
      <c r="K167" s="40" t="str">
        <f>IFERROR(__xludf.DUMMYFUNCTION("GOOGLEFINANCE(""CURRENCY:USDVUV"")"),"#N/A")</f>
        <v>#N/A</v>
      </c>
      <c r="L167" s="41" t="str">
        <f t="shared" si="3"/>
        <v>#N/A</v>
      </c>
      <c r="M167" s="44"/>
    </row>
    <row r="168" ht="22.5" customHeight="1">
      <c r="A168" s="33" t="s">
        <v>665</v>
      </c>
      <c r="B168" s="33" t="s">
        <v>666</v>
      </c>
      <c r="C168" s="33" t="s">
        <v>667</v>
      </c>
      <c r="D168" s="12" t="s">
        <v>93</v>
      </c>
      <c r="E168" s="38">
        <v>1.0</v>
      </c>
      <c r="F168" s="39" t="s">
        <v>22</v>
      </c>
      <c r="G168" s="34">
        <v>3.0</v>
      </c>
      <c r="H168" s="34">
        <v>1.49</v>
      </c>
      <c r="I168" s="31">
        <f t="shared" si="1"/>
        <v>0.8</v>
      </c>
      <c r="J168" s="40">
        <f t="shared" si="2"/>
        <v>2.4</v>
      </c>
      <c r="K168" s="40">
        <f>IFERROR(__xludf.DUMMYFUNCTION("GOOGLEFINANCE(""CURRENCY:USDEUR"")"),0.8519)</f>
        <v>0.8519</v>
      </c>
      <c r="L168" s="41">
        <f t="shared" si="3"/>
        <v>2.04456</v>
      </c>
      <c r="M168" s="42">
        <v>1.9</v>
      </c>
    </row>
    <row r="169" ht="22.5" customHeight="1">
      <c r="A169" s="33" t="s">
        <v>668</v>
      </c>
      <c r="B169" s="33" t="s">
        <v>668</v>
      </c>
      <c r="C169" s="33" t="s">
        <v>670</v>
      </c>
      <c r="D169" s="12" t="s">
        <v>671</v>
      </c>
      <c r="E169" s="38">
        <v>0.25</v>
      </c>
      <c r="F169" s="39" t="s">
        <v>57</v>
      </c>
      <c r="G169" s="34">
        <v>3.0</v>
      </c>
      <c r="H169" s="34">
        <v>1.49</v>
      </c>
      <c r="I169" s="31">
        <f t="shared" si="1"/>
        <v>0.25</v>
      </c>
      <c r="J169" s="40">
        <f t="shared" si="2"/>
        <v>1.49</v>
      </c>
      <c r="K169" s="40">
        <f>IFERROR(__xludf.DUMMYFUNCTION("GOOGLEFINANCE(""CURRENCY:USDVES"")"),504.28360000000004)</f>
        <v>504.2836</v>
      </c>
      <c r="L169" s="41">
        <f t="shared" si="3"/>
        <v>751.382564</v>
      </c>
      <c r="M169" s="42">
        <v>739.0</v>
      </c>
    </row>
    <row r="170" ht="22.5" customHeight="1">
      <c r="A170" s="33" t="s">
        <v>672</v>
      </c>
      <c r="B170" s="33" t="s">
        <v>769</v>
      </c>
      <c r="C170" s="33" t="s">
        <v>673</v>
      </c>
      <c r="D170" s="17" t="s">
        <v>674</v>
      </c>
      <c r="E170" s="38">
        <v>0.23</v>
      </c>
      <c r="F170" s="39" t="s">
        <v>30</v>
      </c>
      <c r="G170" s="34">
        <v>3.0</v>
      </c>
      <c r="H170" s="34">
        <v>1.49</v>
      </c>
      <c r="I170" s="31">
        <f t="shared" si="1"/>
        <v>0.3</v>
      </c>
      <c r="J170" s="40">
        <f t="shared" si="2"/>
        <v>1.49</v>
      </c>
      <c r="K170" s="43">
        <f>IFERROR(__xludf.DUMMYFUNCTION("GOOGLEFINANCE(""CURRENCY:USDVND"")"),26338.940000000002)</f>
        <v>26338.94</v>
      </c>
      <c r="L170" s="41">
        <f t="shared" si="3"/>
        <v>39245.0206</v>
      </c>
      <c r="M170" s="42">
        <v>34900.0</v>
      </c>
    </row>
    <row r="171" ht="22.5" customHeight="1">
      <c r="A171" s="33" t="s">
        <v>676</v>
      </c>
      <c r="B171" s="33" t="s">
        <v>770</v>
      </c>
      <c r="C171" s="33" t="s">
        <v>678</v>
      </c>
      <c r="D171" s="12" t="s">
        <v>226</v>
      </c>
      <c r="E171" s="38">
        <v>0.85</v>
      </c>
      <c r="F171" s="39" t="s">
        <v>22</v>
      </c>
      <c r="G171" s="34">
        <v>3.0</v>
      </c>
      <c r="H171" s="34">
        <v>1.49</v>
      </c>
      <c r="I171" s="31">
        <f t="shared" si="1"/>
        <v>0.8</v>
      </c>
      <c r="J171" s="40">
        <f t="shared" si="2"/>
        <v>2.4</v>
      </c>
      <c r="K171" s="46">
        <v>1.0</v>
      </c>
      <c r="L171" s="41">
        <f t="shared" si="3"/>
        <v>2.4</v>
      </c>
      <c r="M171" s="42">
        <v>2.29</v>
      </c>
    </row>
    <row r="172" ht="22.5" customHeight="1">
      <c r="A172" s="33" t="s">
        <v>679</v>
      </c>
      <c r="B172" s="33" t="s">
        <v>679</v>
      </c>
      <c r="C172" s="33" t="s">
        <v>680</v>
      </c>
      <c r="D172" s="12" t="s">
        <v>681</v>
      </c>
      <c r="E172" s="38">
        <v>0.15</v>
      </c>
      <c r="F172" s="39" t="s">
        <v>57</v>
      </c>
      <c r="G172" s="34">
        <v>3.0</v>
      </c>
      <c r="H172" s="34">
        <v>1.49</v>
      </c>
      <c r="I172" s="31">
        <f t="shared" si="1"/>
        <v>0.25</v>
      </c>
      <c r="J172" s="40">
        <f t="shared" si="2"/>
        <v>1.49</v>
      </c>
      <c r="K172" s="40">
        <f>IFERROR(__xludf.DUMMYFUNCTION("GOOGLEFINANCE(""CURRENCY:USDYER"")"),238.65)</f>
        <v>238.65</v>
      </c>
      <c r="L172" s="41">
        <f t="shared" si="3"/>
        <v>355.5885</v>
      </c>
      <c r="M172" s="42">
        <v>290.0</v>
      </c>
    </row>
    <row r="173" ht="22.5" customHeight="1">
      <c r="A173" s="33" t="s">
        <v>682</v>
      </c>
      <c r="B173" s="33" t="s">
        <v>771</v>
      </c>
      <c r="C173" s="33" t="s">
        <v>684</v>
      </c>
      <c r="D173" s="12" t="s">
        <v>685</v>
      </c>
      <c r="E173" s="38">
        <v>0.2</v>
      </c>
      <c r="F173" s="39" t="s">
        <v>57</v>
      </c>
      <c r="G173" s="34">
        <v>3.0</v>
      </c>
      <c r="H173" s="34">
        <v>1.49</v>
      </c>
      <c r="I173" s="31">
        <f t="shared" si="1"/>
        <v>0.25</v>
      </c>
      <c r="J173" s="40">
        <f t="shared" si="2"/>
        <v>1.49</v>
      </c>
      <c r="K173" s="40">
        <f>IFERROR(__xludf.DUMMYFUNCTION("GOOGLEFINANCE(""CURRENCY:USDZMW"")"),18.8272)</f>
        <v>18.8272</v>
      </c>
      <c r="L173" s="41">
        <f t="shared" si="3"/>
        <v>28.052528</v>
      </c>
      <c r="M173" s="42">
        <v>24.9</v>
      </c>
    </row>
    <row r="174" ht="22.5" customHeight="1">
      <c r="A174" s="33" t="s">
        <v>686</v>
      </c>
      <c r="B174" s="33" t="s">
        <v>772</v>
      </c>
      <c r="C174" s="33" t="s">
        <v>688</v>
      </c>
      <c r="D174" s="12" t="s">
        <v>689</v>
      </c>
      <c r="E174" s="38">
        <v>0.18</v>
      </c>
      <c r="F174" s="39" t="s">
        <v>57</v>
      </c>
      <c r="G174" s="34">
        <v>3.0</v>
      </c>
      <c r="H174" s="34">
        <v>1.49</v>
      </c>
      <c r="I174" s="31">
        <f t="shared" si="1"/>
        <v>0.25</v>
      </c>
      <c r="J174" s="40">
        <f t="shared" si="2"/>
        <v>1.49</v>
      </c>
      <c r="K174" s="40" t="str">
        <f>IFERROR(__xludf.DUMMYFUNCTION("GOOGLEFINANCE(""CURRENCY:USDZIG"")"),"#N/A")</f>
        <v>#N/A</v>
      </c>
      <c r="L174" s="41" t="str">
        <f t="shared" si="3"/>
        <v>#N/A</v>
      </c>
      <c r="M174" s="44"/>
    </row>
    <row r="175">
      <c r="A175" s="36"/>
      <c r="B175" s="36"/>
      <c r="C175" s="36"/>
      <c r="E175" s="36"/>
      <c r="F175" s="48"/>
      <c r="L175" s="49"/>
    </row>
    <row r="176">
      <c r="A176" s="33" t="s">
        <v>690</v>
      </c>
      <c r="B176" s="33" t="s">
        <v>691</v>
      </c>
      <c r="C176" s="36"/>
      <c r="E176" s="36"/>
      <c r="F176" s="48"/>
      <c r="L176" s="49"/>
    </row>
    <row r="177">
      <c r="A177" s="33" t="s">
        <v>22</v>
      </c>
      <c r="B177" s="33" t="s">
        <v>693</v>
      </c>
      <c r="C177" s="36"/>
      <c r="E177" s="36"/>
      <c r="F177" s="48"/>
      <c r="L177" s="49"/>
    </row>
    <row r="178">
      <c r="A178" s="33" t="s">
        <v>26</v>
      </c>
      <c r="B178" s="33" t="s">
        <v>695</v>
      </c>
      <c r="C178" s="36"/>
      <c r="E178" s="36"/>
      <c r="F178" s="48"/>
      <c r="L178" s="49"/>
    </row>
    <row r="179">
      <c r="A179" s="33" t="s">
        <v>30</v>
      </c>
      <c r="B179" s="33" t="s">
        <v>697</v>
      </c>
      <c r="C179" s="36"/>
      <c r="E179" s="36"/>
      <c r="F179" s="48"/>
      <c r="L179" s="49"/>
    </row>
    <row r="180">
      <c r="A180" s="33" t="s">
        <v>57</v>
      </c>
      <c r="B180" s="33" t="s">
        <v>698</v>
      </c>
      <c r="C180" s="36"/>
      <c r="E180" s="36"/>
      <c r="F180" s="48"/>
      <c r="L180" s="49"/>
    </row>
    <row r="181">
      <c r="L181" s="49"/>
    </row>
    <row r="182">
      <c r="L182" s="49"/>
    </row>
    <row r="183">
      <c r="L183" s="49"/>
    </row>
    <row r="184">
      <c r="L184" s="49"/>
    </row>
    <row r="185">
      <c r="L185" s="49"/>
    </row>
    <row r="186">
      <c r="L186" s="49"/>
    </row>
    <row r="187">
      <c r="L187" s="49"/>
    </row>
    <row r="188">
      <c r="L188" s="49"/>
    </row>
    <row r="189">
      <c r="L189" s="49"/>
    </row>
    <row r="190">
      <c r="L190" s="49"/>
    </row>
    <row r="191">
      <c r="L191" s="49"/>
    </row>
    <row r="192">
      <c r="L192" s="49"/>
    </row>
    <row r="193">
      <c r="L193" s="49"/>
    </row>
    <row r="194">
      <c r="L194" s="49"/>
    </row>
    <row r="195">
      <c r="L195" s="49"/>
    </row>
    <row r="196">
      <c r="L196" s="49"/>
    </row>
    <row r="197">
      <c r="L197" s="49"/>
    </row>
    <row r="198">
      <c r="L198" s="49"/>
    </row>
    <row r="199">
      <c r="L199" s="49"/>
    </row>
    <row r="200">
      <c r="L200" s="49"/>
    </row>
    <row r="201">
      <c r="L201" s="49"/>
    </row>
    <row r="202">
      <c r="L202" s="49"/>
    </row>
    <row r="203">
      <c r="L203" s="49"/>
    </row>
    <row r="204">
      <c r="L204" s="49"/>
    </row>
    <row r="205">
      <c r="L205" s="49"/>
    </row>
    <row r="206">
      <c r="L206" s="49"/>
    </row>
    <row r="207">
      <c r="L207" s="49"/>
    </row>
    <row r="208">
      <c r="L208" s="49"/>
    </row>
    <row r="209">
      <c r="L209" s="49"/>
    </row>
    <row r="210">
      <c r="L210" s="49"/>
    </row>
    <row r="211">
      <c r="L211" s="49"/>
    </row>
    <row r="212">
      <c r="L212" s="49"/>
    </row>
    <row r="213">
      <c r="L213" s="49"/>
    </row>
    <row r="214">
      <c r="L214" s="49"/>
    </row>
    <row r="215">
      <c r="L215" s="49"/>
    </row>
    <row r="216">
      <c r="L216" s="49"/>
    </row>
    <row r="217">
      <c r="L217" s="49"/>
    </row>
    <row r="218">
      <c r="L218" s="49"/>
    </row>
    <row r="219">
      <c r="L219" s="49"/>
    </row>
    <row r="220">
      <c r="L220" s="49"/>
    </row>
    <row r="221">
      <c r="L221" s="49"/>
    </row>
    <row r="222">
      <c r="L222" s="49"/>
    </row>
    <row r="223">
      <c r="L223" s="49"/>
    </row>
    <row r="224">
      <c r="L224" s="49"/>
    </row>
    <row r="225">
      <c r="L225" s="49"/>
    </row>
    <row r="226">
      <c r="L226" s="49"/>
    </row>
    <row r="227">
      <c r="L227" s="49"/>
    </row>
    <row r="228">
      <c r="L228" s="49"/>
    </row>
    <row r="229">
      <c r="L229" s="49"/>
    </row>
    <row r="230">
      <c r="L230" s="49"/>
    </row>
    <row r="231">
      <c r="L231" s="49"/>
    </row>
    <row r="232">
      <c r="L232" s="49"/>
    </row>
    <row r="233">
      <c r="L233" s="49"/>
    </row>
    <row r="234">
      <c r="L234" s="49"/>
    </row>
    <row r="235">
      <c r="L235" s="49"/>
    </row>
    <row r="236">
      <c r="L236" s="49"/>
    </row>
    <row r="237">
      <c r="L237" s="49"/>
    </row>
    <row r="238">
      <c r="L238" s="49"/>
    </row>
    <row r="239">
      <c r="L239" s="49"/>
    </row>
    <row r="240">
      <c r="L240" s="49"/>
    </row>
    <row r="241">
      <c r="L241" s="49"/>
    </row>
    <row r="242">
      <c r="L242" s="49"/>
    </row>
    <row r="243">
      <c r="L243" s="49"/>
    </row>
    <row r="244">
      <c r="L244" s="49"/>
    </row>
    <row r="245">
      <c r="L245" s="49"/>
    </row>
    <row r="246">
      <c r="L246" s="49"/>
    </row>
    <row r="247">
      <c r="L247" s="49"/>
    </row>
    <row r="248">
      <c r="L248" s="49"/>
    </row>
    <row r="249">
      <c r="L249" s="49"/>
    </row>
    <row r="250">
      <c r="L250" s="49"/>
    </row>
    <row r="251">
      <c r="L251" s="49"/>
    </row>
    <row r="252">
      <c r="L252" s="49"/>
    </row>
    <row r="253">
      <c r="L253" s="49"/>
    </row>
    <row r="254">
      <c r="L254" s="49"/>
    </row>
    <row r="255">
      <c r="L255" s="49"/>
    </row>
    <row r="256">
      <c r="L256" s="49"/>
    </row>
    <row r="257">
      <c r="L257" s="49"/>
    </row>
    <row r="258">
      <c r="L258" s="49"/>
    </row>
    <row r="259">
      <c r="L259" s="49"/>
    </row>
    <row r="260">
      <c r="L260" s="49"/>
    </row>
    <row r="261">
      <c r="L261" s="49"/>
    </row>
    <row r="262">
      <c r="L262" s="49"/>
    </row>
    <row r="263">
      <c r="L263" s="49"/>
    </row>
    <row r="264">
      <c r="L264" s="49"/>
    </row>
    <row r="265">
      <c r="L265" s="49"/>
    </row>
    <row r="266">
      <c r="L266" s="49"/>
    </row>
    <row r="267">
      <c r="L267" s="49"/>
    </row>
    <row r="268">
      <c r="L268" s="49"/>
    </row>
    <row r="269">
      <c r="L269" s="49"/>
    </row>
    <row r="270">
      <c r="L270" s="49"/>
    </row>
    <row r="271">
      <c r="L271" s="49"/>
    </row>
    <row r="272">
      <c r="L272" s="49"/>
    </row>
    <row r="273">
      <c r="L273" s="49"/>
    </row>
    <row r="274">
      <c r="L274" s="49"/>
    </row>
    <row r="275">
      <c r="L275" s="49"/>
    </row>
    <row r="276">
      <c r="L276" s="49"/>
    </row>
    <row r="277">
      <c r="L277" s="49"/>
    </row>
    <row r="278">
      <c r="L278" s="49"/>
    </row>
    <row r="279">
      <c r="L279" s="49"/>
    </row>
    <row r="280">
      <c r="L280" s="49"/>
    </row>
    <row r="281">
      <c r="L281" s="49"/>
    </row>
    <row r="282">
      <c r="L282" s="49"/>
    </row>
    <row r="283">
      <c r="L283" s="49"/>
    </row>
    <row r="284">
      <c r="L284" s="49"/>
    </row>
    <row r="285">
      <c r="L285" s="49"/>
    </row>
    <row r="286">
      <c r="L286" s="49"/>
    </row>
    <row r="287">
      <c r="L287" s="49"/>
    </row>
    <row r="288">
      <c r="L288" s="49"/>
    </row>
    <row r="289">
      <c r="L289" s="49"/>
    </row>
    <row r="290">
      <c r="L290" s="49"/>
    </row>
    <row r="291">
      <c r="L291" s="49"/>
    </row>
    <row r="292">
      <c r="L292" s="49"/>
    </row>
    <row r="293">
      <c r="L293" s="49"/>
    </row>
    <row r="294">
      <c r="L294" s="49"/>
    </row>
    <row r="295">
      <c r="L295" s="49"/>
    </row>
    <row r="296">
      <c r="L296" s="49"/>
    </row>
    <row r="297">
      <c r="L297" s="49"/>
    </row>
    <row r="298">
      <c r="L298" s="49"/>
    </row>
    <row r="299">
      <c r="L299" s="49"/>
    </row>
    <row r="300">
      <c r="L300" s="49"/>
    </row>
    <row r="301">
      <c r="L301" s="49"/>
    </row>
    <row r="302">
      <c r="L302" s="49"/>
    </row>
    <row r="303">
      <c r="L303" s="49"/>
    </row>
    <row r="304">
      <c r="L304" s="49"/>
    </row>
    <row r="305">
      <c r="L305" s="49"/>
    </row>
    <row r="306">
      <c r="L306" s="49"/>
    </row>
    <row r="307">
      <c r="L307" s="49"/>
    </row>
    <row r="308">
      <c r="L308" s="49"/>
    </row>
    <row r="309">
      <c r="L309" s="49"/>
    </row>
    <row r="310">
      <c r="L310" s="49"/>
    </row>
    <row r="311">
      <c r="L311" s="49"/>
    </row>
    <row r="312">
      <c r="L312" s="49"/>
    </row>
    <row r="313">
      <c r="L313" s="49"/>
    </row>
    <row r="314">
      <c r="L314" s="49"/>
    </row>
    <row r="315">
      <c r="L315" s="49"/>
    </row>
    <row r="316">
      <c r="L316" s="49"/>
    </row>
    <row r="317">
      <c r="L317" s="49"/>
    </row>
    <row r="318">
      <c r="L318" s="49"/>
    </row>
    <row r="319">
      <c r="L319" s="49"/>
    </row>
    <row r="320">
      <c r="L320" s="49"/>
    </row>
    <row r="321">
      <c r="L321" s="49"/>
    </row>
    <row r="322">
      <c r="L322" s="49"/>
    </row>
    <row r="323">
      <c r="L323" s="49"/>
    </row>
    <row r="324">
      <c r="L324" s="49"/>
    </row>
    <row r="325">
      <c r="L325" s="49"/>
    </row>
    <row r="326">
      <c r="L326" s="49"/>
    </row>
    <row r="327">
      <c r="L327" s="49"/>
    </row>
    <row r="328">
      <c r="L328" s="49"/>
    </row>
    <row r="329">
      <c r="L329" s="49"/>
    </row>
    <row r="330">
      <c r="L330" s="49"/>
    </row>
    <row r="331">
      <c r="L331" s="49"/>
    </row>
    <row r="332">
      <c r="L332" s="49"/>
    </row>
    <row r="333">
      <c r="L333" s="49"/>
    </row>
    <row r="334">
      <c r="L334" s="49"/>
    </row>
    <row r="335">
      <c r="L335" s="49"/>
    </row>
    <row r="336">
      <c r="L336" s="49"/>
    </row>
    <row r="337">
      <c r="L337" s="49"/>
    </row>
    <row r="338">
      <c r="L338" s="49"/>
    </row>
    <row r="339">
      <c r="L339" s="49"/>
    </row>
    <row r="340">
      <c r="L340" s="49"/>
    </row>
    <row r="341">
      <c r="L341" s="49"/>
    </row>
    <row r="342">
      <c r="L342" s="49"/>
    </row>
    <row r="343">
      <c r="L343" s="49"/>
    </row>
    <row r="344">
      <c r="L344" s="49"/>
    </row>
    <row r="345">
      <c r="L345" s="49"/>
    </row>
    <row r="346">
      <c r="L346" s="49"/>
    </row>
    <row r="347">
      <c r="L347" s="49"/>
    </row>
    <row r="348">
      <c r="L348" s="49"/>
    </row>
    <row r="349">
      <c r="L349" s="49"/>
    </row>
    <row r="350">
      <c r="L350" s="49"/>
    </row>
    <row r="351">
      <c r="L351" s="49"/>
    </row>
    <row r="352">
      <c r="L352" s="49"/>
    </row>
    <row r="353">
      <c r="L353" s="49"/>
    </row>
    <row r="354">
      <c r="L354" s="49"/>
    </row>
    <row r="355">
      <c r="L355" s="49"/>
    </row>
    <row r="356">
      <c r="L356" s="49"/>
    </row>
    <row r="357">
      <c r="L357" s="49"/>
    </row>
    <row r="358">
      <c r="L358" s="49"/>
    </row>
    <row r="359">
      <c r="L359" s="49"/>
    </row>
    <row r="360">
      <c r="L360" s="49"/>
    </row>
    <row r="361">
      <c r="L361" s="49"/>
    </row>
    <row r="362">
      <c r="L362" s="49"/>
    </row>
    <row r="363">
      <c r="L363" s="49"/>
    </row>
    <row r="364">
      <c r="L364" s="49"/>
    </row>
    <row r="365">
      <c r="L365" s="49"/>
    </row>
    <row r="366">
      <c r="L366" s="49"/>
    </row>
    <row r="367">
      <c r="L367" s="49"/>
    </row>
    <row r="368">
      <c r="L368" s="49"/>
    </row>
    <row r="369">
      <c r="L369" s="49"/>
    </row>
    <row r="370">
      <c r="L370" s="49"/>
    </row>
    <row r="371">
      <c r="L371" s="49"/>
    </row>
    <row r="372">
      <c r="L372" s="49"/>
    </row>
    <row r="373">
      <c r="L373" s="49"/>
    </row>
    <row r="374">
      <c r="L374" s="49"/>
    </row>
    <row r="375">
      <c r="L375" s="49"/>
    </row>
    <row r="376">
      <c r="L376" s="49"/>
    </row>
    <row r="377">
      <c r="L377" s="49"/>
    </row>
    <row r="378">
      <c r="L378" s="49"/>
    </row>
    <row r="379">
      <c r="L379" s="49"/>
    </row>
    <row r="380">
      <c r="L380" s="49"/>
    </row>
    <row r="381">
      <c r="L381" s="49"/>
    </row>
    <row r="382">
      <c r="L382" s="49"/>
    </row>
    <row r="383">
      <c r="L383" s="49"/>
    </row>
    <row r="384">
      <c r="L384" s="49"/>
    </row>
    <row r="385">
      <c r="L385" s="49"/>
    </row>
    <row r="386">
      <c r="L386" s="49"/>
    </row>
    <row r="387">
      <c r="L387" s="49"/>
    </row>
    <row r="388">
      <c r="L388" s="49"/>
    </row>
    <row r="389">
      <c r="L389" s="49"/>
    </row>
    <row r="390">
      <c r="L390" s="49"/>
    </row>
    <row r="391">
      <c r="L391" s="49"/>
    </row>
    <row r="392">
      <c r="L392" s="49"/>
    </row>
    <row r="393">
      <c r="L393" s="49"/>
    </row>
    <row r="394">
      <c r="L394" s="49"/>
    </row>
    <row r="395">
      <c r="L395" s="49"/>
    </row>
    <row r="396">
      <c r="L396" s="49"/>
    </row>
    <row r="397">
      <c r="L397" s="49"/>
    </row>
    <row r="398">
      <c r="L398" s="49"/>
    </row>
    <row r="399">
      <c r="L399" s="49"/>
    </row>
    <row r="400">
      <c r="L400" s="49"/>
    </row>
    <row r="401">
      <c r="L401" s="49"/>
    </row>
    <row r="402">
      <c r="L402" s="49"/>
    </row>
    <row r="403">
      <c r="L403" s="49"/>
    </row>
    <row r="404">
      <c r="L404" s="49"/>
    </row>
    <row r="405">
      <c r="L405" s="49"/>
    </row>
    <row r="406">
      <c r="L406" s="49"/>
    </row>
    <row r="407">
      <c r="L407" s="49"/>
    </row>
    <row r="408">
      <c r="L408" s="49"/>
    </row>
    <row r="409">
      <c r="L409" s="49"/>
    </row>
    <row r="410">
      <c r="L410" s="49"/>
    </row>
    <row r="411">
      <c r="L411" s="49"/>
    </row>
    <row r="412">
      <c r="L412" s="49"/>
    </row>
    <row r="413">
      <c r="L413" s="49"/>
    </row>
    <row r="414">
      <c r="L414" s="49"/>
    </row>
    <row r="415">
      <c r="L415" s="49"/>
    </row>
    <row r="416">
      <c r="L416" s="49"/>
    </row>
    <row r="417">
      <c r="L417" s="49"/>
    </row>
    <row r="418">
      <c r="L418" s="49"/>
    </row>
    <row r="419">
      <c r="L419" s="49"/>
    </row>
    <row r="420">
      <c r="L420" s="49"/>
    </row>
    <row r="421">
      <c r="L421" s="49"/>
    </row>
    <row r="422">
      <c r="L422" s="49"/>
    </row>
    <row r="423">
      <c r="L423" s="49"/>
    </row>
    <row r="424">
      <c r="L424" s="49"/>
    </row>
    <row r="425">
      <c r="L425" s="49"/>
    </row>
    <row r="426">
      <c r="L426" s="49"/>
    </row>
    <row r="427">
      <c r="L427" s="49"/>
    </row>
    <row r="428">
      <c r="L428" s="49"/>
    </row>
    <row r="429">
      <c r="L429" s="49"/>
    </row>
    <row r="430">
      <c r="L430" s="49"/>
    </row>
    <row r="431">
      <c r="L431" s="49"/>
    </row>
    <row r="432">
      <c r="L432" s="49"/>
    </row>
    <row r="433">
      <c r="L433" s="49"/>
    </row>
    <row r="434">
      <c r="L434" s="49"/>
    </row>
    <row r="435">
      <c r="L435" s="49"/>
    </row>
    <row r="436">
      <c r="L436" s="49"/>
    </row>
    <row r="437">
      <c r="L437" s="49"/>
    </row>
    <row r="438">
      <c r="L438" s="49"/>
    </row>
    <row r="439">
      <c r="L439" s="49"/>
    </row>
    <row r="440">
      <c r="L440" s="49"/>
    </row>
    <row r="441">
      <c r="L441" s="49"/>
    </row>
    <row r="442">
      <c r="L442" s="49"/>
    </row>
    <row r="443">
      <c r="L443" s="49"/>
    </row>
    <row r="444">
      <c r="L444" s="49"/>
    </row>
    <row r="445">
      <c r="L445" s="49"/>
    </row>
    <row r="446">
      <c r="L446" s="49"/>
    </row>
    <row r="447">
      <c r="L447" s="49"/>
    </row>
    <row r="448">
      <c r="L448" s="49"/>
    </row>
    <row r="449">
      <c r="L449" s="49"/>
    </row>
    <row r="450">
      <c r="L450" s="49"/>
    </row>
    <row r="451">
      <c r="L451" s="49"/>
    </row>
    <row r="452">
      <c r="L452" s="49"/>
    </row>
    <row r="453">
      <c r="L453" s="49"/>
    </row>
    <row r="454">
      <c r="L454" s="49"/>
    </row>
    <row r="455">
      <c r="L455" s="49"/>
    </row>
    <row r="456">
      <c r="L456" s="49"/>
    </row>
    <row r="457">
      <c r="L457" s="49"/>
    </row>
    <row r="458">
      <c r="L458" s="49"/>
    </row>
    <row r="459">
      <c r="L459" s="49"/>
    </row>
    <row r="460">
      <c r="L460" s="49"/>
    </row>
    <row r="461">
      <c r="L461" s="49"/>
    </row>
    <row r="462">
      <c r="L462" s="49"/>
    </row>
    <row r="463">
      <c r="L463" s="49"/>
    </row>
    <row r="464">
      <c r="L464" s="49"/>
    </row>
    <row r="465">
      <c r="L465" s="49"/>
    </row>
    <row r="466">
      <c r="L466" s="49"/>
    </row>
    <row r="467">
      <c r="L467" s="49"/>
    </row>
    <row r="468">
      <c r="L468" s="49"/>
    </row>
    <row r="469">
      <c r="L469" s="49"/>
    </row>
    <row r="470">
      <c r="L470" s="49"/>
    </row>
    <row r="471">
      <c r="L471" s="49"/>
    </row>
    <row r="472">
      <c r="L472" s="49"/>
    </row>
    <row r="473">
      <c r="L473" s="49"/>
    </row>
    <row r="474">
      <c r="L474" s="49"/>
    </row>
    <row r="475">
      <c r="L475" s="49"/>
    </row>
    <row r="476">
      <c r="L476" s="49"/>
    </row>
    <row r="477">
      <c r="L477" s="49"/>
    </row>
    <row r="478">
      <c r="L478" s="49"/>
    </row>
    <row r="479">
      <c r="L479" s="49"/>
    </row>
    <row r="480">
      <c r="L480" s="49"/>
    </row>
    <row r="481">
      <c r="L481" s="49"/>
    </row>
    <row r="482">
      <c r="L482" s="49"/>
    </row>
    <row r="483">
      <c r="L483" s="49"/>
    </row>
    <row r="484">
      <c r="L484" s="49"/>
    </row>
    <row r="485">
      <c r="L485" s="49"/>
    </row>
    <row r="486">
      <c r="L486" s="49"/>
    </row>
    <row r="487">
      <c r="L487" s="49"/>
    </row>
    <row r="488">
      <c r="L488" s="49"/>
    </row>
    <row r="489">
      <c r="L489" s="49"/>
    </row>
    <row r="490">
      <c r="L490" s="49"/>
    </row>
    <row r="491">
      <c r="L491" s="49"/>
    </row>
    <row r="492">
      <c r="L492" s="49"/>
    </row>
    <row r="493">
      <c r="L493" s="49"/>
    </row>
    <row r="494">
      <c r="L494" s="49"/>
    </row>
    <row r="495">
      <c r="L495" s="49"/>
    </row>
    <row r="496">
      <c r="L496" s="49"/>
    </row>
    <row r="497">
      <c r="L497" s="49"/>
    </row>
    <row r="498">
      <c r="L498" s="49"/>
    </row>
    <row r="499">
      <c r="L499" s="49"/>
    </row>
    <row r="500">
      <c r="L500" s="49"/>
    </row>
    <row r="501">
      <c r="L501" s="49"/>
    </row>
    <row r="502">
      <c r="L502" s="49"/>
    </row>
    <row r="503">
      <c r="L503" s="49"/>
    </row>
    <row r="504">
      <c r="L504" s="49"/>
    </row>
    <row r="505">
      <c r="L505" s="49"/>
    </row>
    <row r="506">
      <c r="L506" s="49"/>
    </row>
    <row r="507">
      <c r="L507" s="49"/>
    </row>
    <row r="508">
      <c r="L508" s="49"/>
    </row>
    <row r="509">
      <c r="L509" s="49"/>
    </row>
    <row r="510">
      <c r="L510" s="49"/>
    </row>
    <row r="511">
      <c r="L511" s="49"/>
    </row>
    <row r="512">
      <c r="L512" s="49"/>
    </row>
    <row r="513">
      <c r="L513" s="49"/>
    </row>
    <row r="514">
      <c r="L514" s="49"/>
    </row>
    <row r="515">
      <c r="L515" s="49"/>
    </row>
    <row r="516">
      <c r="L516" s="49"/>
    </row>
    <row r="517">
      <c r="L517" s="49"/>
    </row>
    <row r="518">
      <c r="L518" s="49"/>
    </row>
    <row r="519">
      <c r="L519" s="49"/>
    </row>
    <row r="520">
      <c r="L520" s="49"/>
    </row>
    <row r="521">
      <c r="L521" s="49"/>
    </row>
    <row r="522">
      <c r="L522" s="49"/>
    </row>
    <row r="523">
      <c r="L523" s="49"/>
    </row>
    <row r="524">
      <c r="L524" s="49"/>
    </row>
    <row r="525">
      <c r="L525" s="49"/>
    </row>
    <row r="526">
      <c r="L526" s="49"/>
    </row>
    <row r="527">
      <c r="L527" s="49"/>
    </row>
    <row r="528">
      <c r="L528" s="49"/>
    </row>
    <row r="529">
      <c r="L529" s="49"/>
    </row>
    <row r="530">
      <c r="L530" s="49"/>
    </row>
    <row r="531">
      <c r="L531" s="49"/>
    </row>
    <row r="532">
      <c r="L532" s="49"/>
    </row>
    <row r="533">
      <c r="L533" s="49"/>
    </row>
    <row r="534">
      <c r="L534" s="49"/>
    </row>
    <row r="535">
      <c r="L535" s="49"/>
    </row>
    <row r="536">
      <c r="L536" s="49"/>
    </row>
    <row r="537">
      <c r="L537" s="49"/>
    </row>
    <row r="538">
      <c r="L538" s="49"/>
    </row>
    <row r="539">
      <c r="L539" s="49"/>
    </row>
    <row r="540">
      <c r="L540" s="49"/>
    </row>
    <row r="541">
      <c r="L541" s="49"/>
    </row>
    <row r="542">
      <c r="L542" s="49"/>
    </row>
    <row r="543">
      <c r="L543" s="49"/>
    </row>
    <row r="544">
      <c r="L544" s="49"/>
    </row>
    <row r="545">
      <c r="L545" s="49"/>
    </row>
    <row r="546">
      <c r="L546" s="49"/>
    </row>
    <row r="547">
      <c r="L547" s="49"/>
    </row>
    <row r="548">
      <c r="L548" s="49"/>
    </row>
    <row r="549">
      <c r="L549" s="49"/>
    </row>
    <row r="550">
      <c r="L550" s="49"/>
    </row>
    <row r="551">
      <c r="L551" s="49"/>
    </row>
    <row r="552">
      <c r="L552" s="49"/>
    </row>
    <row r="553">
      <c r="L553" s="49"/>
    </row>
    <row r="554">
      <c r="L554" s="49"/>
    </row>
    <row r="555">
      <c r="L555" s="49"/>
    </row>
    <row r="556">
      <c r="L556" s="49"/>
    </row>
    <row r="557">
      <c r="L557" s="49"/>
    </row>
    <row r="558">
      <c r="L558" s="49"/>
    </row>
    <row r="559">
      <c r="L559" s="49"/>
    </row>
    <row r="560">
      <c r="L560" s="49"/>
    </row>
    <row r="561">
      <c r="L561" s="49"/>
    </row>
    <row r="562">
      <c r="L562" s="49"/>
    </row>
    <row r="563">
      <c r="L563" s="49"/>
    </row>
    <row r="564">
      <c r="L564" s="49"/>
    </row>
    <row r="565">
      <c r="L565" s="49"/>
    </row>
    <row r="566">
      <c r="L566" s="49"/>
    </row>
    <row r="567">
      <c r="L567" s="49"/>
    </row>
    <row r="568">
      <c r="L568" s="49"/>
    </row>
    <row r="569">
      <c r="L569" s="49"/>
    </row>
    <row r="570">
      <c r="L570" s="49"/>
    </row>
    <row r="571">
      <c r="L571" s="49"/>
    </row>
    <row r="572">
      <c r="L572" s="49"/>
    </row>
    <row r="573">
      <c r="L573" s="49"/>
    </row>
    <row r="574">
      <c r="L574" s="49"/>
    </row>
    <row r="575">
      <c r="L575" s="49"/>
    </row>
    <row r="576">
      <c r="L576" s="49"/>
    </row>
    <row r="577">
      <c r="L577" s="49"/>
    </row>
    <row r="578">
      <c r="L578" s="49"/>
    </row>
    <row r="579">
      <c r="L579" s="49"/>
    </row>
    <row r="580">
      <c r="L580" s="49"/>
    </row>
    <row r="581">
      <c r="L581" s="49"/>
    </row>
    <row r="582">
      <c r="L582" s="49"/>
    </row>
    <row r="583">
      <c r="L583" s="49"/>
    </row>
    <row r="584">
      <c r="L584" s="49"/>
    </row>
    <row r="585">
      <c r="L585" s="49"/>
    </row>
    <row r="586">
      <c r="L586" s="49"/>
    </row>
    <row r="587">
      <c r="L587" s="49"/>
    </row>
    <row r="588">
      <c r="L588" s="49"/>
    </row>
    <row r="589">
      <c r="L589" s="49"/>
    </row>
    <row r="590">
      <c r="L590" s="49"/>
    </row>
    <row r="591">
      <c r="L591" s="49"/>
    </row>
    <row r="592">
      <c r="L592" s="49"/>
    </row>
    <row r="593">
      <c r="L593" s="49"/>
    </row>
    <row r="594">
      <c r="L594" s="49"/>
    </row>
    <row r="595">
      <c r="L595" s="49"/>
    </row>
    <row r="596">
      <c r="L596" s="49"/>
    </row>
    <row r="597">
      <c r="L597" s="49"/>
    </row>
    <row r="598">
      <c r="L598" s="49"/>
    </row>
    <row r="599">
      <c r="L599" s="49"/>
    </row>
    <row r="600">
      <c r="L600" s="49"/>
    </row>
    <row r="601">
      <c r="L601" s="49"/>
    </row>
    <row r="602">
      <c r="L602" s="49"/>
    </row>
    <row r="603">
      <c r="L603" s="49"/>
    </row>
    <row r="604">
      <c r="L604" s="49"/>
    </row>
    <row r="605">
      <c r="L605" s="49"/>
    </row>
    <row r="606">
      <c r="L606" s="49"/>
    </row>
    <row r="607">
      <c r="L607" s="49"/>
    </row>
    <row r="608">
      <c r="L608" s="49"/>
    </row>
    <row r="609">
      <c r="L609" s="49"/>
    </row>
    <row r="610">
      <c r="L610" s="49"/>
    </row>
    <row r="611">
      <c r="L611" s="49"/>
    </row>
    <row r="612">
      <c r="L612" s="49"/>
    </row>
    <row r="613">
      <c r="L613" s="49"/>
    </row>
    <row r="614">
      <c r="L614" s="49"/>
    </row>
    <row r="615">
      <c r="L615" s="49"/>
    </row>
    <row r="616">
      <c r="L616" s="49"/>
    </row>
    <row r="617">
      <c r="L617" s="49"/>
    </row>
    <row r="618">
      <c r="L618" s="49"/>
    </row>
    <row r="619">
      <c r="L619" s="49"/>
    </row>
    <row r="620">
      <c r="L620" s="49"/>
    </row>
    <row r="621">
      <c r="L621" s="49"/>
    </row>
    <row r="622">
      <c r="L622" s="49"/>
    </row>
    <row r="623">
      <c r="L623" s="49"/>
    </row>
    <row r="624">
      <c r="L624" s="49"/>
    </row>
    <row r="625">
      <c r="L625" s="49"/>
    </row>
    <row r="626">
      <c r="L626" s="49"/>
    </row>
    <row r="627">
      <c r="L627" s="49"/>
    </row>
    <row r="628">
      <c r="L628" s="49"/>
    </row>
    <row r="629">
      <c r="L629" s="49"/>
    </row>
    <row r="630">
      <c r="L630" s="49"/>
    </row>
    <row r="631">
      <c r="L631" s="49"/>
    </row>
    <row r="632">
      <c r="L632" s="49"/>
    </row>
    <row r="633">
      <c r="L633" s="49"/>
    </row>
    <row r="634">
      <c r="L634" s="49"/>
    </row>
    <row r="635">
      <c r="L635" s="49"/>
    </row>
    <row r="636">
      <c r="L636" s="49"/>
    </row>
    <row r="637">
      <c r="L637" s="49"/>
    </row>
    <row r="638">
      <c r="L638" s="49"/>
    </row>
    <row r="639">
      <c r="L639" s="49"/>
    </row>
    <row r="640">
      <c r="L640" s="49"/>
    </row>
    <row r="641">
      <c r="L641" s="49"/>
    </row>
    <row r="642">
      <c r="L642" s="49"/>
    </row>
    <row r="643">
      <c r="L643" s="49"/>
    </row>
    <row r="644">
      <c r="L644" s="49"/>
    </row>
    <row r="645">
      <c r="L645" s="49"/>
    </row>
    <row r="646">
      <c r="L646" s="49"/>
    </row>
    <row r="647">
      <c r="L647" s="49"/>
    </row>
    <row r="648">
      <c r="L648" s="49"/>
    </row>
    <row r="649">
      <c r="L649" s="49"/>
    </row>
    <row r="650">
      <c r="L650" s="49"/>
    </row>
    <row r="651">
      <c r="L651" s="49"/>
    </row>
    <row r="652">
      <c r="L652" s="49"/>
    </row>
    <row r="653">
      <c r="L653" s="49"/>
    </row>
    <row r="654">
      <c r="L654" s="49"/>
    </row>
    <row r="655">
      <c r="L655" s="49"/>
    </row>
    <row r="656">
      <c r="L656" s="49"/>
    </row>
    <row r="657">
      <c r="L657" s="49"/>
    </row>
    <row r="658">
      <c r="L658" s="49"/>
    </row>
    <row r="659">
      <c r="L659" s="49"/>
    </row>
    <row r="660">
      <c r="L660" s="49"/>
    </row>
    <row r="661">
      <c r="L661" s="49"/>
    </row>
    <row r="662">
      <c r="L662" s="49"/>
    </row>
    <row r="663">
      <c r="L663" s="49"/>
    </row>
    <row r="664">
      <c r="L664" s="49"/>
    </row>
    <row r="665">
      <c r="L665" s="49"/>
    </row>
    <row r="666">
      <c r="L666" s="49"/>
    </row>
    <row r="667">
      <c r="L667" s="49"/>
    </row>
    <row r="668">
      <c r="L668" s="49"/>
    </row>
    <row r="669">
      <c r="L669" s="49"/>
    </row>
    <row r="670">
      <c r="L670" s="49"/>
    </row>
    <row r="671">
      <c r="L671" s="49"/>
    </row>
    <row r="672">
      <c r="L672" s="49"/>
    </row>
    <row r="673">
      <c r="L673" s="49"/>
    </row>
    <row r="674">
      <c r="L674" s="49"/>
    </row>
    <row r="675">
      <c r="L675" s="49"/>
    </row>
    <row r="676">
      <c r="L676" s="49"/>
    </row>
    <row r="677">
      <c r="L677" s="49"/>
    </row>
    <row r="678">
      <c r="L678" s="49"/>
    </row>
    <row r="679">
      <c r="L679" s="49"/>
    </row>
    <row r="680">
      <c r="L680" s="49"/>
    </row>
    <row r="681">
      <c r="L681" s="49"/>
    </row>
    <row r="682">
      <c r="L682" s="49"/>
    </row>
    <row r="683">
      <c r="L683" s="49"/>
    </row>
    <row r="684">
      <c r="L684" s="49"/>
    </row>
    <row r="685">
      <c r="L685" s="49"/>
    </row>
    <row r="686">
      <c r="L686" s="49"/>
    </row>
    <row r="687">
      <c r="L687" s="49"/>
    </row>
    <row r="688">
      <c r="L688" s="49"/>
    </row>
    <row r="689">
      <c r="L689" s="49"/>
    </row>
    <row r="690">
      <c r="L690" s="49"/>
    </row>
    <row r="691">
      <c r="L691" s="49"/>
    </row>
    <row r="692">
      <c r="L692" s="49"/>
    </row>
    <row r="693">
      <c r="L693" s="49"/>
    </row>
    <row r="694">
      <c r="L694" s="49"/>
    </row>
    <row r="695">
      <c r="L695" s="49"/>
    </row>
    <row r="696">
      <c r="L696" s="49"/>
    </row>
    <row r="697">
      <c r="L697" s="49"/>
    </row>
    <row r="698">
      <c r="L698" s="49"/>
    </row>
    <row r="699">
      <c r="L699" s="49"/>
    </row>
    <row r="700">
      <c r="L700" s="49"/>
    </row>
    <row r="701">
      <c r="L701" s="49"/>
    </row>
    <row r="702">
      <c r="L702" s="49"/>
    </row>
    <row r="703">
      <c r="L703" s="49"/>
    </row>
    <row r="704">
      <c r="L704" s="49"/>
    </row>
    <row r="705">
      <c r="L705" s="49"/>
    </row>
    <row r="706">
      <c r="L706" s="49"/>
    </row>
    <row r="707">
      <c r="L707" s="49"/>
    </row>
    <row r="708">
      <c r="L708" s="49"/>
    </row>
    <row r="709">
      <c r="L709" s="49"/>
    </row>
    <row r="710">
      <c r="L710" s="49"/>
    </row>
    <row r="711">
      <c r="L711" s="49"/>
    </row>
    <row r="712">
      <c r="L712" s="49"/>
    </row>
    <row r="713">
      <c r="L713" s="49"/>
    </row>
    <row r="714">
      <c r="L714" s="49"/>
    </row>
    <row r="715">
      <c r="L715" s="49"/>
    </row>
    <row r="716">
      <c r="L716" s="49"/>
    </row>
    <row r="717">
      <c r="L717" s="49"/>
    </row>
    <row r="718">
      <c r="L718" s="49"/>
    </row>
    <row r="719">
      <c r="L719" s="49"/>
    </row>
    <row r="720">
      <c r="L720" s="49"/>
    </row>
    <row r="721">
      <c r="L721" s="49"/>
    </row>
    <row r="722">
      <c r="L722" s="49"/>
    </row>
    <row r="723">
      <c r="L723" s="49"/>
    </row>
    <row r="724">
      <c r="L724" s="49"/>
    </row>
    <row r="725">
      <c r="L725" s="49"/>
    </row>
    <row r="726">
      <c r="L726" s="49"/>
    </row>
    <row r="727">
      <c r="L727" s="49"/>
    </row>
    <row r="728">
      <c r="L728" s="49"/>
    </row>
    <row r="729">
      <c r="L729" s="49"/>
    </row>
    <row r="730">
      <c r="L730" s="49"/>
    </row>
    <row r="731">
      <c r="L731" s="49"/>
    </row>
    <row r="732">
      <c r="L732" s="49"/>
    </row>
    <row r="733">
      <c r="L733" s="49"/>
    </row>
    <row r="734">
      <c r="L734" s="49"/>
    </row>
    <row r="735">
      <c r="L735" s="49"/>
    </row>
    <row r="736">
      <c r="L736" s="49"/>
    </row>
    <row r="737">
      <c r="L737" s="49"/>
    </row>
    <row r="738">
      <c r="L738" s="49"/>
    </row>
    <row r="739">
      <c r="L739" s="49"/>
    </row>
    <row r="740">
      <c r="L740" s="49"/>
    </row>
    <row r="741">
      <c r="L741" s="49"/>
    </row>
    <row r="742">
      <c r="L742" s="49"/>
    </row>
    <row r="743">
      <c r="L743" s="49"/>
    </row>
    <row r="744">
      <c r="L744" s="49"/>
    </row>
    <row r="745">
      <c r="L745" s="49"/>
    </row>
    <row r="746">
      <c r="L746" s="49"/>
    </row>
    <row r="747">
      <c r="L747" s="49"/>
    </row>
    <row r="748">
      <c r="L748" s="49"/>
    </row>
    <row r="749">
      <c r="L749" s="49"/>
    </row>
    <row r="750">
      <c r="L750" s="49"/>
    </row>
    <row r="751">
      <c r="L751" s="49"/>
    </row>
    <row r="752">
      <c r="L752" s="49"/>
    </row>
    <row r="753">
      <c r="L753" s="49"/>
    </row>
    <row r="754">
      <c r="L754" s="49"/>
    </row>
    <row r="755">
      <c r="L755" s="49"/>
    </row>
    <row r="756">
      <c r="L756" s="49"/>
    </row>
    <row r="757">
      <c r="L757" s="49"/>
    </row>
    <row r="758">
      <c r="L758" s="49"/>
    </row>
    <row r="759">
      <c r="L759" s="49"/>
    </row>
    <row r="760">
      <c r="L760" s="49"/>
    </row>
    <row r="761">
      <c r="L761" s="49"/>
    </row>
    <row r="762">
      <c r="L762" s="49"/>
    </row>
    <row r="763">
      <c r="L763" s="49"/>
    </row>
    <row r="764">
      <c r="L764" s="49"/>
    </row>
    <row r="765">
      <c r="L765" s="49"/>
    </row>
    <row r="766">
      <c r="L766" s="49"/>
    </row>
    <row r="767">
      <c r="L767" s="49"/>
    </row>
    <row r="768">
      <c r="L768" s="49"/>
    </row>
    <row r="769">
      <c r="L769" s="49"/>
    </row>
    <row r="770">
      <c r="L770" s="49"/>
    </row>
    <row r="771">
      <c r="L771" s="49"/>
    </row>
    <row r="772">
      <c r="L772" s="49"/>
    </row>
    <row r="773">
      <c r="L773" s="49"/>
    </row>
    <row r="774">
      <c r="L774" s="49"/>
    </row>
    <row r="775">
      <c r="L775" s="49"/>
    </row>
    <row r="776">
      <c r="L776" s="49"/>
    </row>
    <row r="777">
      <c r="L777" s="49"/>
    </row>
    <row r="778">
      <c r="L778" s="49"/>
    </row>
    <row r="779">
      <c r="L779" s="49"/>
    </row>
    <row r="780">
      <c r="L780" s="49"/>
    </row>
    <row r="781">
      <c r="L781" s="49"/>
    </row>
    <row r="782">
      <c r="L782" s="49"/>
    </row>
    <row r="783">
      <c r="L783" s="49"/>
    </row>
    <row r="784">
      <c r="L784" s="49"/>
    </row>
    <row r="785">
      <c r="L785" s="49"/>
    </row>
    <row r="786">
      <c r="L786" s="49"/>
    </row>
    <row r="787">
      <c r="L787" s="49"/>
    </row>
    <row r="788">
      <c r="L788" s="49"/>
    </row>
    <row r="789">
      <c r="L789" s="49"/>
    </row>
    <row r="790">
      <c r="L790" s="49"/>
    </row>
    <row r="791">
      <c r="L791" s="49"/>
    </row>
    <row r="792">
      <c r="L792" s="49"/>
    </row>
    <row r="793">
      <c r="L793" s="49"/>
    </row>
    <row r="794">
      <c r="L794" s="49"/>
    </row>
    <row r="795">
      <c r="L795" s="49"/>
    </row>
    <row r="796">
      <c r="L796" s="49"/>
    </row>
    <row r="797">
      <c r="L797" s="49"/>
    </row>
    <row r="798">
      <c r="L798" s="49"/>
    </row>
    <row r="799">
      <c r="L799" s="49"/>
    </row>
    <row r="800">
      <c r="L800" s="49"/>
    </row>
    <row r="801">
      <c r="L801" s="49"/>
    </row>
    <row r="802">
      <c r="L802" s="49"/>
    </row>
    <row r="803">
      <c r="L803" s="49"/>
    </row>
    <row r="804">
      <c r="L804" s="49"/>
    </row>
    <row r="805">
      <c r="L805" s="49"/>
    </row>
    <row r="806">
      <c r="L806" s="49"/>
    </row>
    <row r="807">
      <c r="L807" s="49"/>
    </row>
    <row r="808">
      <c r="L808" s="49"/>
    </row>
    <row r="809">
      <c r="L809" s="49"/>
    </row>
    <row r="810">
      <c r="L810" s="49"/>
    </row>
    <row r="811">
      <c r="L811" s="49"/>
    </row>
    <row r="812">
      <c r="L812" s="49"/>
    </row>
    <row r="813">
      <c r="L813" s="49"/>
    </row>
    <row r="814">
      <c r="L814" s="49"/>
    </row>
    <row r="815">
      <c r="L815" s="49"/>
    </row>
    <row r="816">
      <c r="L816" s="49"/>
    </row>
    <row r="817">
      <c r="L817" s="49"/>
    </row>
    <row r="818">
      <c r="L818" s="49"/>
    </row>
    <row r="819">
      <c r="L819" s="49"/>
    </row>
    <row r="820">
      <c r="L820" s="49"/>
    </row>
    <row r="821">
      <c r="L821" s="49"/>
    </row>
    <row r="822">
      <c r="L822" s="49"/>
    </row>
    <row r="823">
      <c r="L823" s="49"/>
    </row>
    <row r="824">
      <c r="L824" s="49"/>
    </row>
    <row r="825">
      <c r="L825" s="49"/>
    </row>
    <row r="826">
      <c r="L826" s="49"/>
    </row>
    <row r="827">
      <c r="L827" s="49"/>
    </row>
    <row r="828">
      <c r="L828" s="49"/>
    </row>
    <row r="829">
      <c r="L829" s="49"/>
    </row>
    <row r="830">
      <c r="L830" s="49"/>
    </row>
    <row r="831">
      <c r="L831" s="49"/>
    </row>
    <row r="832">
      <c r="L832" s="49"/>
    </row>
    <row r="833">
      <c r="L833" s="49"/>
    </row>
    <row r="834">
      <c r="L834" s="49"/>
    </row>
    <row r="835">
      <c r="L835" s="49"/>
    </row>
    <row r="836">
      <c r="L836" s="49"/>
    </row>
    <row r="837">
      <c r="L837" s="49"/>
    </row>
    <row r="838">
      <c r="L838" s="49"/>
    </row>
    <row r="839">
      <c r="L839" s="49"/>
    </row>
    <row r="840">
      <c r="L840" s="49"/>
    </row>
    <row r="841">
      <c r="L841" s="49"/>
    </row>
    <row r="842">
      <c r="L842" s="49"/>
    </row>
    <row r="843">
      <c r="L843" s="49"/>
    </row>
    <row r="844">
      <c r="L844" s="49"/>
    </row>
    <row r="845">
      <c r="L845" s="49"/>
    </row>
    <row r="846">
      <c r="L846" s="49"/>
    </row>
    <row r="847">
      <c r="L847" s="49"/>
    </row>
    <row r="848">
      <c r="L848" s="49"/>
    </row>
    <row r="849">
      <c r="L849" s="49"/>
    </row>
    <row r="850">
      <c r="L850" s="49"/>
    </row>
    <row r="851">
      <c r="L851" s="49"/>
    </row>
    <row r="852">
      <c r="L852" s="49"/>
    </row>
    <row r="853">
      <c r="L853" s="49"/>
    </row>
    <row r="854">
      <c r="L854" s="49"/>
    </row>
    <row r="855">
      <c r="L855" s="49"/>
    </row>
    <row r="856">
      <c r="L856" s="49"/>
    </row>
    <row r="857">
      <c r="L857" s="49"/>
    </row>
    <row r="858">
      <c r="L858" s="49"/>
    </row>
    <row r="859">
      <c r="L859" s="49"/>
    </row>
    <row r="860">
      <c r="L860" s="49"/>
    </row>
    <row r="861">
      <c r="L861" s="49"/>
    </row>
    <row r="862">
      <c r="L862" s="49"/>
    </row>
    <row r="863">
      <c r="L863" s="49"/>
    </row>
    <row r="864">
      <c r="L864" s="49"/>
    </row>
    <row r="865">
      <c r="L865" s="49"/>
    </row>
    <row r="866">
      <c r="L866" s="49"/>
    </row>
    <row r="867">
      <c r="L867" s="49"/>
    </row>
    <row r="868">
      <c r="L868" s="49"/>
    </row>
    <row r="869">
      <c r="L869" s="49"/>
    </row>
    <row r="870">
      <c r="L870" s="49"/>
    </row>
    <row r="871">
      <c r="L871" s="49"/>
    </row>
    <row r="872">
      <c r="L872" s="49"/>
    </row>
    <row r="873">
      <c r="L873" s="49"/>
    </row>
    <row r="874">
      <c r="L874" s="49"/>
    </row>
    <row r="875">
      <c r="L875" s="49"/>
    </row>
    <row r="876">
      <c r="L876" s="49"/>
    </row>
    <row r="877">
      <c r="L877" s="49"/>
    </row>
    <row r="878">
      <c r="L878" s="49"/>
    </row>
    <row r="879">
      <c r="L879" s="49"/>
    </row>
    <row r="880">
      <c r="L880" s="49"/>
    </row>
    <row r="881">
      <c r="L881" s="49"/>
    </row>
    <row r="882">
      <c r="L882" s="49"/>
    </row>
    <row r="883">
      <c r="L883" s="49"/>
    </row>
    <row r="884">
      <c r="L884" s="49"/>
    </row>
    <row r="885">
      <c r="L885" s="49"/>
    </row>
    <row r="886">
      <c r="L886" s="49"/>
    </row>
    <row r="887">
      <c r="L887" s="49"/>
    </row>
    <row r="888">
      <c r="L888" s="49"/>
    </row>
    <row r="889">
      <c r="L889" s="49"/>
    </row>
    <row r="890">
      <c r="L890" s="49"/>
    </row>
    <row r="891">
      <c r="L891" s="49"/>
    </row>
    <row r="892">
      <c r="L892" s="49"/>
    </row>
    <row r="893">
      <c r="L893" s="49"/>
    </row>
    <row r="894">
      <c r="L894" s="49"/>
    </row>
    <row r="895">
      <c r="L895" s="49"/>
    </row>
    <row r="896">
      <c r="L896" s="49"/>
    </row>
    <row r="897">
      <c r="L897" s="49"/>
    </row>
    <row r="898">
      <c r="L898" s="49"/>
    </row>
    <row r="899">
      <c r="L899" s="49"/>
    </row>
    <row r="900">
      <c r="L900" s="49"/>
    </row>
    <row r="901">
      <c r="L901" s="49"/>
    </row>
    <row r="902">
      <c r="L902" s="49"/>
    </row>
    <row r="903">
      <c r="L903" s="49"/>
    </row>
    <row r="904">
      <c r="L904" s="49"/>
    </row>
    <row r="905">
      <c r="L905" s="49"/>
    </row>
    <row r="906">
      <c r="L906" s="49"/>
    </row>
    <row r="907">
      <c r="L907" s="49"/>
    </row>
    <row r="908">
      <c r="L908" s="49"/>
    </row>
    <row r="909">
      <c r="L909" s="49"/>
    </row>
    <row r="910">
      <c r="L910" s="49"/>
    </row>
    <row r="911">
      <c r="L911" s="49"/>
    </row>
    <row r="912">
      <c r="L912" s="49"/>
    </row>
    <row r="913">
      <c r="L913" s="49"/>
    </row>
    <row r="914">
      <c r="L914" s="49"/>
    </row>
    <row r="915">
      <c r="L915" s="49"/>
    </row>
    <row r="916">
      <c r="L916" s="49"/>
    </row>
    <row r="917">
      <c r="L917" s="49"/>
    </row>
    <row r="918">
      <c r="L918" s="49"/>
    </row>
    <row r="919">
      <c r="L919" s="49"/>
    </row>
    <row r="920">
      <c r="L920" s="49"/>
    </row>
    <row r="921">
      <c r="L921" s="49"/>
    </row>
    <row r="922">
      <c r="L922" s="49"/>
    </row>
    <row r="923">
      <c r="L923" s="49"/>
    </row>
    <row r="924">
      <c r="L924" s="49"/>
    </row>
    <row r="925">
      <c r="L925" s="49"/>
    </row>
    <row r="926">
      <c r="L926" s="49"/>
    </row>
    <row r="927">
      <c r="L927" s="49"/>
    </row>
    <row r="928">
      <c r="L928" s="49"/>
    </row>
    <row r="929">
      <c r="L929" s="49"/>
    </row>
    <row r="930">
      <c r="L930" s="49"/>
    </row>
    <row r="931">
      <c r="L931" s="49"/>
    </row>
    <row r="932">
      <c r="L932" s="49"/>
    </row>
    <row r="933">
      <c r="L933" s="49"/>
    </row>
    <row r="934">
      <c r="L934" s="49"/>
    </row>
    <row r="935">
      <c r="L935" s="49"/>
    </row>
    <row r="936">
      <c r="L936" s="49"/>
    </row>
    <row r="937">
      <c r="L937" s="49"/>
    </row>
    <row r="938">
      <c r="L938" s="49"/>
    </row>
    <row r="939">
      <c r="L939" s="49"/>
    </row>
    <row r="940">
      <c r="L940" s="49"/>
    </row>
    <row r="941">
      <c r="L941" s="49"/>
    </row>
    <row r="942">
      <c r="L942" s="49"/>
    </row>
    <row r="943">
      <c r="L943" s="49"/>
    </row>
    <row r="944">
      <c r="L944" s="49"/>
    </row>
    <row r="945">
      <c r="L945" s="49"/>
    </row>
    <row r="946">
      <c r="L946" s="49"/>
    </row>
    <row r="947">
      <c r="L947" s="49"/>
    </row>
    <row r="948">
      <c r="L948" s="49"/>
    </row>
    <row r="949">
      <c r="L949" s="49"/>
    </row>
    <row r="950">
      <c r="L950" s="49"/>
    </row>
    <row r="951">
      <c r="L951" s="49"/>
    </row>
    <row r="952">
      <c r="L952" s="49"/>
    </row>
    <row r="953">
      <c r="L953" s="49"/>
    </row>
    <row r="954">
      <c r="L954" s="49"/>
    </row>
    <row r="955">
      <c r="L955" s="49"/>
    </row>
    <row r="956">
      <c r="L956" s="49"/>
    </row>
    <row r="957">
      <c r="L957" s="49"/>
    </row>
    <row r="958">
      <c r="L958" s="49"/>
    </row>
    <row r="959">
      <c r="L959" s="49"/>
    </row>
    <row r="960">
      <c r="L960" s="49"/>
    </row>
    <row r="961">
      <c r="L961" s="49"/>
    </row>
    <row r="962">
      <c r="L962" s="49"/>
    </row>
    <row r="963">
      <c r="L963" s="49"/>
    </row>
    <row r="964">
      <c r="L964" s="49"/>
    </row>
    <row r="965">
      <c r="L965" s="49"/>
    </row>
    <row r="966">
      <c r="L966" s="49"/>
    </row>
    <row r="967">
      <c r="L967" s="49"/>
    </row>
    <row r="968">
      <c r="L968" s="49"/>
    </row>
    <row r="969">
      <c r="L969" s="49"/>
    </row>
    <row r="970">
      <c r="L970" s="49"/>
    </row>
    <row r="971">
      <c r="L971" s="49"/>
    </row>
    <row r="972">
      <c r="L972" s="49"/>
    </row>
    <row r="973">
      <c r="L973" s="49"/>
    </row>
    <row r="974">
      <c r="L974" s="49"/>
    </row>
    <row r="975">
      <c r="L975" s="49"/>
    </row>
    <row r="976">
      <c r="L976" s="49"/>
    </row>
    <row r="977">
      <c r="L977" s="49"/>
    </row>
    <row r="978">
      <c r="L978" s="49"/>
    </row>
    <row r="979">
      <c r="L979" s="49"/>
    </row>
    <row r="980">
      <c r="L980" s="49"/>
    </row>
    <row r="981">
      <c r="L981" s="49"/>
    </row>
    <row r="982">
      <c r="L982" s="49"/>
    </row>
    <row r="983">
      <c r="L983" s="49"/>
    </row>
    <row r="984">
      <c r="L984" s="49"/>
    </row>
    <row r="985">
      <c r="L985" s="49"/>
    </row>
    <row r="986">
      <c r="L986" s="49"/>
    </row>
    <row r="987">
      <c r="L987" s="49"/>
    </row>
    <row r="988">
      <c r="L988" s="49"/>
    </row>
    <row r="989">
      <c r="L989" s="49"/>
    </row>
    <row r="990">
      <c r="L990" s="49"/>
    </row>
    <row r="991">
      <c r="L991" s="49"/>
    </row>
    <row r="992">
      <c r="L992" s="49"/>
    </row>
    <row r="993">
      <c r="L993" s="49"/>
    </row>
    <row r="994">
      <c r="L994" s="49"/>
    </row>
    <row r="995">
      <c r="L995" s="49"/>
    </row>
    <row r="996">
      <c r="L996" s="49"/>
    </row>
    <row r="997">
      <c r="L997" s="49"/>
    </row>
    <row r="998">
      <c r="L998" s="49"/>
    </row>
    <row r="999">
      <c r="L999" s="49"/>
    </row>
    <row r="1000">
      <c r="L1000" s="49"/>
    </row>
  </sheetData>
  <conditionalFormatting sqref="J2:K174">
    <cfRule type="notContainsBlanks" dxfId="6" priority="1">
      <formula>LEN(TRIM(J2))&gt;0</formula>
    </cfRule>
  </conditionalFormatting>
  <conditionalFormatting sqref="L1:L1000">
    <cfRule type="notContainsBlanks" dxfId="6" priority="2">
      <formula>LEN(TRIM(L1))&gt;0</formula>
    </cfRule>
  </conditionalFormatting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5" width="30.0"/>
    <col customWidth="1" min="6" max="6" width="16.0"/>
    <col customWidth="1" min="7" max="26" width="8.5"/>
  </cols>
  <sheetData>
    <row r="1">
      <c r="A1" s="50" t="s">
        <v>773</v>
      </c>
      <c r="B1" s="2"/>
      <c r="C1" s="2"/>
      <c r="D1" s="2"/>
      <c r="E1" s="3"/>
    </row>
    <row r="3">
      <c r="A3" s="8" t="s">
        <v>774</v>
      </c>
      <c r="B3" s="8" t="s">
        <v>41</v>
      </c>
      <c r="C3" s="8" t="s">
        <v>775</v>
      </c>
      <c r="D3" s="8" t="s">
        <v>776</v>
      </c>
      <c r="E3" s="8" t="s">
        <v>777</v>
      </c>
    </row>
    <row r="4">
      <c r="A4" s="21" t="s">
        <v>72</v>
      </c>
      <c r="B4" s="21" t="s">
        <v>226</v>
      </c>
      <c r="C4" s="21" t="s">
        <v>778</v>
      </c>
      <c r="D4" s="21" t="s">
        <v>779</v>
      </c>
      <c r="E4" s="21" t="s">
        <v>780</v>
      </c>
    </row>
    <row r="5">
      <c r="A5" s="21" t="s">
        <v>263</v>
      </c>
      <c r="B5" s="21" t="s">
        <v>93</v>
      </c>
      <c r="C5" s="21" t="s">
        <v>778</v>
      </c>
      <c r="D5" s="21" t="s">
        <v>779</v>
      </c>
      <c r="E5" s="21" t="s">
        <v>781</v>
      </c>
    </row>
    <row r="6">
      <c r="A6" s="21" t="s">
        <v>58</v>
      </c>
      <c r="B6" s="21" t="s">
        <v>625</v>
      </c>
      <c r="C6" s="21" t="s">
        <v>782</v>
      </c>
      <c r="D6" s="21" t="s">
        <v>783</v>
      </c>
      <c r="E6" s="21" t="s">
        <v>784</v>
      </c>
    </row>
    <row r="7">
      <c r="A7" s="21" t="s">
        <v>309</v>
      </c>
      <c r="B7" s="21" t="s">
        <v>308</v>
      </c>
      <c r="C7" s="21" t="s">
        <v>782</v>
      </c>
      <c r="D7" s="21" t="s">
        <v>785</v>
      </c>
      <c r="E7" s="21" t="s">
        <v>310</v>
      </c>
    </row>
    <row r="8">
      <c r="A8" s="21" t="s">
        <v>141</v>
      </c>
      <c r="B8" s="21" t="s">
        <v>140</v>
      </c>
      <c r="C8" s="21" t="s">
        <v>786</v>
      </c>
      <c r="D8" s="21" t="s">
        <v>787</v>
      </c>
      <c r="E8" s="21"/>
    </row>
    <row r="9">
      <c r="A9" s="21" t="s">
        <v>315</v>
      </c>
      <c r="B9" s="21" t="s">
        <v>314</v>
      </c>
      <c r="C9" s="21" t="s">
        <v>788</v>
      </c>
      <c r="D9" s="21" t="s">
        <v>789</v>
      </c>
      <c r="E9" s="21"/>
    </row>
    <row r="10">
      <c r="A10" s="21" t="s">
        <v>338</v>
      </c>
      <c r="B10" s="21" t="s">
        <v>337</v>
      </c>
      <c r="C10" s="21" t="s">
        <v>790</v>
      </c>
      <c r="D10" s="21" t="s">
        <v>791</v>
      </c>
      <c r="E10" s="21"/>
    </row>
    <row r="11">
      <c r="A11" s="21" t="s">
        <v>575</v>
      </c>
      <c r="B11" s="21" t="s">
        <v>574</v>
      </c>
      <c r="C11" s="21" t="s">
        <v>788</v>
      </c>
      <c r="D11" s="21" t="s">
        <v>792</v>
      </c>
      <c r="E11" s="21"/>
    </row>
    <row r="12">
      <c r="A12" s="21" t="s">
        <v>675</v>
      </c>
      <c r="B12" s="21" t="s">
        <v>674</v>
      </c>
      <c r="C12" s="21" t="s">
        <v>788</v>
      </c>
      <c r="D12" s="21" t="s">
        <v>793</v>
      </c>
      <c r="E12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6.0"/>
    <col customWidth="1" min="3" max="4" width="36.0"/>
    <col customWidth="1" min="5" max="5" width="39.63"/>
    <col customWidth="1" min="6" max="6" width="16.0"/>
    <col customWidth="1" min="7" max="26" width="8.5"/>
  </cols>
  <sheetData>
    <row r="1">
      <c r="A1" s="50" t="s">
        <v>794</v>
      </c>
      <c r="B1" s="2"/>
      <c r="C1" s="2"/>
      <c r="D1" s="2"/>
      <c r="E1" s="3"/>
    </row>
    <row r="3">
      <c r="A3" s="8" t="s">
        <v>795</v>
      </c>
      <c r="B3" s="8" t="s">
        <v>796</v>
      </c>
      <c r="C3" s="8" t="s">
        <v>797</v>
      </c>
      <c r="D3" s="8" t="s">
        <v>798</v>
      </c>
      <c r="E3" s="8" t="s">
        <v>9</v>
      </c>
    </row>
    <row r="4">
      <c r="A4" s="21" t="s">
        <v>799</v>
      </c>
      <c r="B4" s="21" t="s">
        <v>800</v>
      </c>
      <c r="C4" s="21" t="s">
        <v>801</v>
      </c>
      <c r="D4" s="21" t="s">
        <v>802</v>
      </c>
      <c r="E4" s="21" t="s">
        <v>803</v>
      </c>
    </row>
    <row r="5">
      <c r="A5" s="21" t="s">
        <v>804</v>
      </c>
      <c r="B5" s="21" t="s">
        <v>805</v>
      </c>
      <c r="C5" s="21" t="s">
        <v>806</v>
      </c>
      <c r="D5" s="21" t="s">
        <v>807</v>
      </c>
      <c r="E5" s="21" t="s">
        <v>808</v>
      </c>
    </row>
    <row r="6">
      <c r="A6" s="21" t="s">
        <v>809</v>
      </c>
      <c r="B6" s="21" t="s">
        <v>810</v>
      </c>
      <c r="C6" s="21" t="s">
        <v>811</v>
      </c>
      <c r="D6" s="21" t="s">
        <v>812</v>
      </c>
      <c r="E6" s="21" t="s">
        <v>813</v>
      </c>
    </row>
    <row r="7">
      <c r="A7" s="21" t="s">
        <v>814</v>
      </c>
      <c r="B7" s="21" t="s">
        <v>815</v>
      </c>
      <c r="C7" s="21" t="s">
        <v>816</v>
      </c>
      <c r="D7" s="21" t="s">
        <v>817</v>
      </c>
      <c r="E7" s="21" t="s">
        <v>818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15.0"/>
    <col customWidth="1" min="13" max="26" width="8.5"/>
  </cols>
  <sheetData>
    <row r="1">
      <c r="A1" s="51" t="s">
        <v>819</v>
      </c>
      <c r="B1" s="51" t="s">
        <v>820</v>
      </c>
      <c r="C1" s="51" t="s">
        <v>39</v>
      </c>
      <c r="D1" s="51" t="s">
        <v>821</v>
      </c>
      <c r="E1" s="51" t="s">
        <v>822</v>
      </c>
      <c r="F1" s="51" t="s">
        <v>41</v>
      </c>
      <c r="G1" s="51" t="s">
        <v>823</v>
      </c>
      <c r="H1" s="51" t="s">
        <v>824</v>
      </c>
      <c r="I1" s="51" t="s">
        <v>825</v>
      </c>
      <c r="J1" s="51" t="s">
        <v>826</v>
      </c>
      <c r="K1" s="51" t="s">
        <v>827</v>
      </c>
      <c r="L1" s="51" t="s">
        <v>828</v>
      </c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>
        <v>46143.0</v>
      </c>
      <c r="B2" s="52" t="s">
        <v>829</v>
      </c>
      <c r="C2" s="52" t="s">
        <v>624</v>
      </c>
      <c r="D2" s="52" t="s">
        <v>22</v>
      </c>
      <c r="E2" s="54">
        <v>39.0</v>
      </c>
      <c r="F2" s="52" t="s">
        <v>625</v>
      </c>
      <c r="G2" s="55">
        <v>1200.0</v>
      </c>
      <c r="H2" s="55">
        <v>48.0</v>
      </c>
      <c r="I2" s="56">
        <f t="shared" ref="I2:I200" si="1">IFERROR(H2/G2,0)</f>
        <v>0.04</v>
      </c>
      <c r="J2" s="54">
        <f t="shared" ref="J2:J200" si="2">IFERROR(E2*H2,0)</f>
        <v>1872</v>
      </c>
      <c r="K2" s="54">
        <f t="shared" ref="K2:K200" si="3">IFERROR(J2/G2,0)</f>
        <v>1.56</v>
      </c>
      <c r="L2" s="52" t="str">
        <f t="shared" ref="L2:L200" si="4">IF(B2="","",IF(J2=MAX(SUMIFS($J$2:$J$200,$B$2:$B$200,B2,$C$2:$C$200,C2,$D$2:$D$200,"A"),SUMIFS($J$2:$J$200,$B$2:$B$200,B2,$C$2:$C$200,C2,$D$2:$D$200,"B")),"Current Winner",""))</f>
        <v/>
      </c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>
        <v>46150.0</v>
      </c>
      <c r="B3" s="52" t="s">
        <v>829</v>
      </c>
      <c r="C3" s="52" t="s">
        <v>624</v>
      </c>
      <c r="D3" s="52" t="s">
        <v>26</v>
      </c>
      <c r="E3" s="54">
        <v>29.0</v>
      </c>
      <c r="F3" s="52" t="s">
        <v>625</v>
      </c>
      <c r="G3" s="55">
        <v>1350.0</v>
      </c>
      <c r="H3" s="55">
        <v>78.0</v>
      </c>
      <c r="I3" s="56">
        <f t="shared" si="1"/>
        <v>0.05777777778</v>
      </c>
      <c r="J3" s="54">
        <f t="shared" si="2"/>
        <v>2262</v>
      </c>
      <c r="K3" s="54">
        <f t="shared" si="3"/>
        <v>1.675555556</v>
      </c>
      <c r="L3" s="52" t="str">
        <f t="shared" si="4"/>
        <v>Current Winner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>
        <v>46143.0</v>
      </c>
      <c r="B4" s="52" t="s">
        <v>830</v>
      </c>
      <c r="C4" s="52" t="s">
        <v>624</v>
      </c>
      <c r="D4" s="52" t="s">
        <v>22</v>
      </c>
      <c r="E4" s="54">
        <v>49.0</v>
      </c>
      <c r="F4" s="52" t="s">
        <v>625</v>
      </c>
      <c r="G4" s="55">
        <v>900.0</v>
      </c>
      <c r="H4" s="55">
        <v>32.0</v>
      </c>
      <c r="I4" s="56">
        <f t="shared" si="1"/>
        <v>0.03555555556</v>
      </c>
      <c r="J4" s="54">
        <f t="shared" si="2"/>
        <v>1568</v>
      </c>
      <c r="K4" s="54">
        <f t="shared" si="3"/>
        <v>1.742222222</v>
      </c>
      <c r="L4" s="52" t="str">
        <f t="shared" si="4"/>
        <v/>
      </c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>
        <v>46150.0</v>
      </c>
      <c r="B5" s="52" t="s">
        <v>830</v>
      </c>
      <c r="C5" s="52" t="s">
        <v>624</v>
      </c>
      <c r="D5" s="52" t="s">
        <v>26</v>
      </c>
      <c r="E5" s="54">
        <v>39.0</v>
      </c>
      <c r="F5" s="52" t="s">
        <v>625</v>
      </c>
      <c r="G5" s="55">
        <v>960.0</v>
      </c>
      <c r="H5" s="55">
        <v>45.0</v>
      </c>
      <c r="I5" s="56">
        <f t="shared" si="1"/>
        <v>0.046875</v>
      </c>
      <c r="J5" s="54">
        <f t="shared" si="2"/>
        <v>1755</v>
      </c>
      <c r="K5" s="54">
        <f t="shared" si="3"/>
        <v>1.828125</v>
      </c>
      <c r="L5" s="52" t="str">
        <f t="shared" si="4"/>
        <v>Current Winner</v>
      </c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>
        <v>46143.0</v>
      </c>
      <c r="B6" s="52" t="s">
        <v>829</v>
      </c>
      <c r="C6" s="52" t="s">
        <v>307</v>
      </c>
      <c r="D6" s="52" t="s">
        <v>22</v>
      </c>
      <c r="E6" s="54">
        <v>49.0</v>
      </c>
      <c r="F6" s="52" t="s">
        <v>308</v>
      </c>
      <c r="G6" s="55">
        <v>2400.0</v>
      </c>
      <c r="H6" s="55">
        <v>96.0</v>
      </c>
      <c r="I6" s="56">
        <f t="shared" si="1"/>
        <v>0.04</v>
      </c>
      <c r="J6" s="54">
        <f t="shared" si="2"/>
        <v>4704</v>
      </c>
      <c r="K6" s="54">
        <f t="shared" si="3"/>
        <v>1.96</v>
      </c>
      <c r="L6" s="52" t="str">
        <f t="shared" si="4"/>
        <v/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>
        <v>46150.0</v>
      </c>
      <c r="B7" s="52" t="s">
        <v>829</v>
      </c>
      <c r="C7" s="52" t="s">
        <v>307</v>
      </c>
      <c r="D7" s="52" t="s">
        <v>26</v>
      </c>
      <c r="E7" s="54">
        <v>29.0</v>
      </c>
      <c r="F7" s="52" t="s">
        <v>308</v>
      </c>
      <c r="G7" s="55">
        <v>2700.0</v>
      </c>
      <c r="H7" s="55">
        <v>168.0</v>
      </c>
      <c r="I7" s="56">
        <f t="shared" si="1"/>
        <v>0.06222222222</v>
      </c>
      <c r="J7" s="54">
        <f t="shared" si="2"/>
        <v>4872</v>
      </c>
      <c r="K7" s="54">
        <f t="shared" si="3"/>
        <v>1.804444444</v>
      </c>
      <c r="L7" s="52" t="str">
        <f t="shared" si="4"/>
        <v>Current Winner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>
        <v>46143.0</v>
      </c>
      <c r="B8" s="52" t="s">
        <v>830</v>
      </c>
      <c r="C8" s="52" t="s">
        <v>139</v>
      </c>
      <c r="D8" s="52" t="s">
        <v>22</v>
      </c>
      <c r="E8" s="54">
        <v>6.9</v>
      </c>
      <c r="F8" s="52" t="s">
        <v>140</v>
      </c>
      <c r="G8" s="55">
        <v>760.0</v>
      </c>
      <c r="H8" s="55">
        <v>20.0</v>
      </c>
      <c r="I8" s="56">
        <f t="shared" si="1"/>
        <v>0.02631578947</v>
      </c>
      <c r="J8" s="54">
        <f t="shared" si="2"/>
        <v>138</v>
      </c>
      <c r="K8" s="54">
        <f t="shared" si="3"/>
        <v>0.1815789474</v>
      </c>
      <c r="L8" s="52" t="str">
        <f t="shared" si="4"/>
        <v/>
      </c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3">
        <v>46150.0</v>
      </c>
      <c r="B9" s="52" t="s">
        <v>830</v>
      </c>
      <c r="C9" s="52" t="s">
        <v>139</v>
      </c>
      <c r="D9" s="52" t="s">
        <v>26</v>
      </c>
      <c r="E9" s="54">
        <v>4.9</v>
      </c>
      <c r="F9" s="52" t="s">
        <v>140</v>
      </c>
      <c r="G9" s="55">
        <v>830.0</v>
      </c>
      <c r="H9" s="55">
        <v>32.0</v>
      </c>
      <c r="I9" s="56">
        <f t="shared" si="1"/>
        <v>0.03855421687</v>
      </c>
      <c r="J9" s="54">
        <f t="shared" si="2"/>
        <v>156.8</v>
      </c>
      <c r="K9" s="54">
        <f t="shared" si="3"/>
        <v>0.1889156627</v>
      </c>
      <c r="L9" s="52" t="str">
        <f t="shared" si="4"/>
        <v>Current Winner</v>
      </c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3"/>
      <c r="B10" s="52"/>
      <c r="C10" s="52"/>
      <c r="D10" s="52"/>
      <c r="E10" s="54"/>
      <c r="F10" s="52"/>
      <c r="G10" s="55"/>
      <c r="H10" s="55"/>
      <c r="I10" s="56">
        <f t="shared" si="1"/>
        <v>0</v>
      </c>
      <c r="J10" s="54">
        <f t="shared" si="2"/>
        <v>0</v>
      </c>
      <c r="K10" s="54">
        <f t="shared" si="3"/>
        <v>0</v>
      </c>
      <c r="L10" s="52" t="str">
        <f t="shared" si="4"/>
        <v/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3"/>
      <c r="B11" s="52"/>
      <c r="C11" s="52"/>
      <c r="D11" s="52"/>
      <c r="E11" s="54"/>
      <c r="F11" s="52"/>
      <c r="G11" s="55"/>
      <c r="H11" s="55"/>
      <c r="I11" s="56">
        <f t="shared" si="1"/>
        <v>0</v>
      </c>
      <c r="J11" s="54">
        <f t="shared" si="2"/>
        <v>0</v>
      </c>
      <c r="K11" s="54">
        <f t="shared" si="3"/>
        <v>0</v>
      </c>
      <c r="L11" s="52" t="str">
        <f t="shared" si="4"/>
        <v/>
      </c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3"/>
      <c r="B12" s="52"/>
      <c r="C12" s="52"/>
      <c r="D12" s="52"/>
      <c r="E12" s="54"/>
      <c r="F12" s="52"/>
      <c r="G12" s="55"/>
      <c r="H12" s="55"/>
      <c r="I12" s="56">
        <f t="shared" si="1"/>
        <v>0</v>
      </c>
      <c r="J12" s="54">
        <f t="shared" si="2"/>
        <v>0</v>
      </c>
      <c r="K12" s="54">
        <f t="shared" si="3"/>
        <v>0</v>
      </c>
      <c r="L12" s="52" t="str">
        <f t="shared" si="4"/>
        <v/>
      </c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3"/>
      <c r="B13" s="52"/>
      <c r="C13" s="52"/>
      <c r="D13" s="52"/>
      <c r="E13" s="54"/>
      <c r="F13" s="52"/>
      <c r="G13" s="55"/>
      <c r="H13" s="55"/>
      <c r="I13" s="56">
        <f t="shared" si="1"/>
        <v>0</v>
      </c>
      <c r="J13" s="54">
        <f t="shared" si="2"/>
        <v>0</v>
      </c>
      <c r="K13" s="54">
        <f t="shared" si="3"/>
        <v>0</v>
      </c>
      <c r="L13" s="52" t="str">
        <f t="shared" si="4"/>
        <v/>
      </c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3"/>
      <c r="B14" s="52"/>
      <c r="C14" s="52"/>
      <c r="D14" s="52"/>
      <c r="E14" s="54"/>
      <c r="F14" s="52"/>
      <c r="G14" s="55"/>
      <c r="H14" s="55"/>
      <c r="I14" s="56">
        <f t="shared" si="1"/>
        <v>0</v>
      </c>
      <c r="J14" s="54">
        <f t="shared" si="2"/>
        <v>0</v>
      </c>
      <c r="K14" s="54">
        <f t="shared" si="3"/>
        <v>0</v>
      </c>
      <c r="L14" s="52" t="str">
        <f t="shared" si="4"/>
        <v/>
      </c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3"/>
      <c r="B15" s="52"/>
      <c r="C15" s="52"/>
      <c r="D15" s="52"/>
      <c r="E15" s="54"/>
      <c r="F15" s="52"/>
      <c r="G15" s="55"/>
      <c r="H15" s="55"/>
      <c r="I15" s="56">
        <f t="shared" si="1"/>
        <v>0</v>
      </c>
      <c r="J15" s="54">
        <f t="shared" si="2"/>
        <v>0</v>
      </c>
      <c r="K15" s="54">
        <f t="shared" si="3"/>
        <v>0</v>
      </c>
      <c r="L15" s="52" t="str">
        <f t="shared" si="4"/>
        <v/>
      </c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3"/>
      <c r="B16" s="52"/>
      <c r="C16" s="52"/>
      <c r="D16" s="52"/>
      <c r="E16" s="54"/>
      <c r="F16" s="52"/>
      <c r="G16" s="55"/>
      <c r="H16" s="55"/>
      <c r="I16" s="56">
        <f t="shared" si="1"/>
        <v>0</v>
      </c>
      <c r="J16" s="54">
        <f t="shared" si="2"/>
        <v>0</v>
      </c>
      <c r="K16" s="54">
        <f t="shared" si="3"/>
        <v>0</v>
      </c>
      <c r="L16" s="52" t="str">
        <f t="shared" si="4"/>
        <v/>
      </c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3"/>
      <c r="B17" s="52"/>
      <c r="C17" s="52"/>
      <c r="D17" s="52"/>
      <c r="E17" s="54"/>
      <c r="F17" s="52"/>
      <c r="G17" s="55"/>
      <c r="H17" s="55"/>
      <c r="I17" s="56">
        <f t="shared" si="1"/>
        <v>0</v>
      </c>
      <c r="J17" s="54">
        <f t="shared" si="2"/>
        <v>0</v>
      </c>
      <c r="K17" s="54">
        <f t="shared" si="3"/>
        <v>0</v>
      </c>
      <c r="L17" s="52" t="str">
        <f t="shared" si="4"/>
        <v/>
      </c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3"/>
      <c r="B18" s="52"/>
      <c r="C18" s="52"/>
      <c r="D18" s="52"/>
      <c r="E18" s="54"/>
      <c r="F18" s="52"/>
      <c r="G18" s="55"/>
      <c r="H18" s="55"/>
      <c r="I18" s="56">
        <f t="shared" si="1"/>
        <v>0</v>
      </c>
      <c r="J18" s="54">
        <f t="shared" si="2"/>
        <v>0</v>
      </c>
      <c r="K18" s="54">
        <f t="shared" si="3"/>
        <v>0</v>
      </c>
      <c r="L18" s="52" t="str">
        <f t="shared" si="4"/>
        <v/>
      </c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3"/>
      <c r="B19" s="52"/>
      <c r="C19" s="52"/>
      <c r="D19" s="52"/>
      <c r="E19" s="54"/>
      <c r="F19" s="52"/>
      <c r="G19" s="55"/>
      <c r="H19" s="55"/>
      <c r="I19" s="56">
        <f t="shared" si="1"/>
        <v>0</v>
      </c>
      <c r="J19" s="54">
        <f t="shared" si="2"/>
        <v>0</v>
      </c>
      <c r="K19" s="54">
        <f t="shared" si="3"/>
        <v>0</v>
      </c>
      <c r="L19" s="52" t="str">
        <f t="shared" si="4"/>
        <v/>
      </c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3"/>
      <c r="B20" s="52"/>
      <c r="C20" s="52"/>
      <c r="D20" s="52"/>
      <c r="E20" s="54"/>
      <c r="F20" s="52"/>
      <c r="G20" s="55"/>
      <c r="H20" s="55"/>
      <c r="I20" s="56">
        <f t="shared" si="1"/>
        <v>0</v>
      </c>
      <c r="J20" s="54">
        <f t="shared" si="2"/>
        <v>0</v>
      </c>
      <c r="K20" s="54">
        <f t="shared" si="3"/>
        <v>0</v>
      </c>
      <c r="L20" s="52" t="str">
        <f t="shared" si="4"/>
        <v/>
      </c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3"/>
      <c r="B21" s="52"/>
      <c r="C21" s="52"/>
      <c r="D21" s="52"/>
      <c r="E21" s="54"/>
      <c r="F21" s="52"/>
      <c r="G21" s="55"/>
      <c r="H21" s="55"/>
      <c r="I21" s="56">
        <f t="shared" si="1"/>
        <v>0</v>
      </c>
      <c r="J21" s="54">
        <f t="shared" si="2"/>
        <v>0</v>
      </c>
      <c r="K21" s="54">
        <f t="shared" si="3"/>
        <v>0</v>
      </c>
      <c r="L21" s="52" t="str">
        <f t="shared" si="4"/>
        <v/>
      </c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3"/>
      <c r="B22" s="52"/>
      <c r="C22" s="52"/>
      <c r="D22" s="52"/>
      <c r="E22" s="54"/>
      <c r="F22" s="52"/>
      <c r="G22" s="55"/>
      <c r="H22" s="55"/>
      <c r="I22" s="56">
        <f t="shared" si="1"/>
        <v>0</v>
      </c>
      <c r="J22" s="54">
        <f t="shared" si="2"/>
        <v>0</v>
      </c>
      <c r="K22" s="54">
        <f t="shared" si="3"/>
        <v>0</v>
      </c>
      <c r="L22" s="52" t="str">
        <f t="shared" si="4"/>
        <v/>
      </c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3"/>
      <c r="B23" s="52"/>
      <c r="C23" s="52"/>
      <c r="D23" s="52"/>
      <c r="E23" s="54"/>
      <c r="F23" s="52"/>
      <c r="G23" s="55"/>
      <c r="H23" s="55"/>
      <c r="I23" s="56">
        <f t="shared" si="1"/>
        <v>0</v>
      </c>
      <c r="J23" s="54">
        <f t="shared" si="2"/>
        <v>0</v>
      </c>
      <c r="K23" s="54">
        <f t="shared" si="3"/>
        <v>0</v>
      </c>
      <c r="L23" s="52" t="str">
        <f t="shared" si="4"/>
        <v/>
      </c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3"/>
      <c r="B24" s="52"/>
      <c r="C24" s="52"/>
      <c r="D24" s="52"/>
      <c r="E24" s="54"/>
      <c r="F24" s="52"/>
      <c r="G24" s="55"/>
      <c r="H24" s="55"/>
      <c r="I24" s="56">
        <f t="shared" si="1"/>
        <v>0</v>
      </c>
      <c r="J24" s="54">
        <f t="shared" si="2"/>
        <v>0</v>
      </c>
      <c r="K24" s="54">
        <f t="shared" si="3"/>
        <v>0</v>
      </c>
      <c r="L24" s="52" t="str">
        <f t="shared" si="4"/>
        <v/>
      </c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3"/>
      <c r="B25" s="52"/>
      <c r="C25" s="52"/>
      <c r="D25" s="52"/>
      <c r="E25" s="54"/>
      <c r="F25" s="52"/>
      <c r="G25" s="55"/>
      <c r="H25" s="55"/>
      <c r="I25" s="56">
        <f t="shared" si="1"/>
        <v>0</v>
      </c>
      <c r="J25" s="54">
        <f t="shared" si="2"/>
        <v>0</v>
      </c>
      <c r="K25" s="54">
        <f t="shared" si="3"/>
        <v>0</v>
      </c>
      <c r="L25" s="52" t="str">
        <f t="shared" si="4"/>
        <v/>
      </c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3"/>
      <c r="B26" s="52"/>
      <c r="C26" s="52"/>
      <c r="D26" s="52"/>
      <c r="E26" s="54"/>
      <c r="F26" s="52"/>
      <c r="G26" s="55"/>
      <c r="H26" s="55"/>
      <c r="I26" s="56">
        <f t="shared" si="1"/>
        <v>0</v>
      </c>
      <c r="J26" s="54">
        <f t="shared" si="2"/>
        <v>0</v>
      </c>
      <c r="K26" s="54">
        <f t="shared" si="3"/>
        <v>0</v>
      </c>
      <c r="L26" s="52" t="str">
        <f t="shared" si="4"/>
        <v/>
      </c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3"/>
      <c r="B27" s="52"/>
      <c r="C27" s="52"/>
      <c r="D27" s="52"/>
      <c r="E27" s="54"/>
      <c r="F27" s="52"/>
      <c r="G27" s="55"/>
      <c r="H27" s="55"/>
      <c r="I27" s="56">
        <f t="shared" si="1"/>
        <v>0</v>
      </c>
      <c r="J27" s="54">
        <f t="shared" si="2"/>
        <v>0</v>
      </c>
      <c r="K27" s="54">
        <f t="shared" si="3"/>
        <v>0</v>
      </c>
      <c r="L27" s="52" t="str">
        <f t="shared" si="4"/>
        <v/>
      </c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3"/>
      <c r="B28" s="52"/>
      <c r="C28" s="52"/>
      <c r="D28" s="52"/>
      <c r="E28" s="54"/>
      <c r="F28" s="52"/>
      <c r="G28" s="55"/>
      <c r="H28" s="55"/>
      <c r="I28" s="56">
        <f t="shared" si="1"/>
        <v>0</v>
      </c>
      <c r="J28" s="54">
        <f t="shared" si="2"/>
        <v>0</v>
      </c>
      <c r="K28" s="54">
        <f t="shared" si="3"/>
        <v>0</v>
      </c>
      <c r="L28" s="52" t="str">
        <f t="shared" si="4"/>
        <v/>
      </c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3"/>
      <c r="B29" s="52"/>
      <c r="C29" s="52"/>
      <c r="D29" s="52"/>
      <c r="E29" s="54"/>
      <c r="F29" s="52"/>
      <c r="G29" s="55"/>
      <c r="H29" s="55"/>
      <c r="I29" s="56">
        <f t="shared" si="1"/>
        <v>0</v>
      </c>
      <c r="J29" s="54">
        <f t="shared" si="2"/>
        <v>0</v>
      </c>
      <c r="K29" s="54">
        <f t="shared" si="3"/>
        <v>0</v>
      </c>
      <c r="L29" s="52" t="str">
        <f t="shared" si="4"/>
        <v/>
      </c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3"/>
      <c r="B30" s="52"/>
      <c r="C30" s="52"/>
      <c r="D30" s="52"/>
      <c r="E30" s="54"/>
      <c r="F30" s="52"/>
      <c r="G30" s="55"/>
      <c r="H30" s="55"/>
      <c r="I30" s="56">
        <f t="shared" si="1"/>
        <v>0</v>
      </c>
      <c r="J30" s="54">
        <f t="shared" si="2"/>
        <v>0</v>
      </c>
      <c r="K30" s="54">
        <f t="shared" si="3"/>
        <v>0</v>
      </c>
      <c r="L30" s="52" t="str">
        <f t="shared" si="4"/>
        <v/>
      </c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3"/>
      <c r="B31" s="52"/>
      <c r="C31" s="52"/>
      <c r="D31" s="52"/>
      <c r="E31" s="54"/>
      <c r="F31" s="52"/>
      <c r="G31" s="55"/>
      <c r="H31" s="55"/>
      <c r="I31" s="56">
        <f t="shared" si="1"/>
        <v>0</v>
      </c>
      <c r="J31" s="54">
        <f t="shared" si="2"/>
        <v>0</v>
      </c>
      <c r="K31" s="54">
        <f t="shared" si="3"/>
        <v>0</v>
      </c>
      <c r="L31" s="52" t="str">
        <f t="shared" si="4"/>
        <v/>
      </c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3"/>
      <c r="B32" s="52"/>
      <c r="C32" s="52"/>
      <c r="D32" s="52"/>
      <c r="E32" s="54"/>
      <c r="F32" s="52"/>
      <c r="G32" s="55"/>
      <c r="H32" s="55"/>
      <c r="I32" s="56">
        <f t="shared" si="1"/>
        <v>0</v>
      </c>
      <c r="J32" s="54">
        <f t="shared" si="2"/>
        <v>0</v>
      </c>
      <c r="K32" s="54">
        <f t="shared" si="3"/>
        <v>0</v>
      </c>
      <c r="L32" s="52" t="str">
        <f t="shared" si="4"/>
        <v/>
      </c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3"/>
      <c r="B33" s="52"/>
      <c r="C33" s="52"/>
      <c r="D33" s="52"/>
      <c r="E33" s="54"/>
      <c r="F33" s="52"/>
      <c r="G33" s="55"/>
      <c r="H33" s="55"/>
      <c r="I33" s="56">
        <f t="shared" si="1"/>
        <v>0</v>
      </c>
      <c r="J33" s="54">
        <f t="shared" si="2"/>
        <v>0</v>
      </c>
      <c r="K33" s="54">
        <f t="shared" si="3"/>
        <v>0</v>
      </c>
      <c r="L33" s="52" t="str">
        <f t="shared" si="4"/>
        <v/>
      </c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3"/>
      <c r="B34" s="52"/>
      <c r="C34" s="52"/>
      <c r="D34" s="52"/>
      <c r="E34" s="54"/>
      <c r="F34" s="52"/>
      <c r="G34" s="55"/>
      <c r="H34" s="55"/>
      <c r="I34" s="56">
        <f t="shared" si="1"/>
        <v>0</v>
      </c>
      <c r="J34" s="54">
        <f t="shared" si="2"/>
        <v>0</v>
      </c>
      <c r="K34" s="54">
        <f t="shared" si="3"/>
        <v>0</v>
      </c>
      <c r="L34" s="52" t="str">
        <f t="shared" si="4"/>
        <v/>
      </c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3"/>
      <c r="B35" s="52"/>
      <c r="C35" s="52"/>
      <c r="D35" s="52"/>
      <c r="E35" s="54"/>
      <c r="F35" s="52"/>
      <c r="G35" s="55"/>
      <c r="H35" s="55"/>
      <c r="I35" s="56">
        <f t="shared" si="1"/>
        <v>0</v>
      </c>
      <c r="J35" s="54">
        <f t="shared" si="2"/>
        <v>0</v>
      </c>
      <c r="K35" s="54">
        <f t="shared" si="3"/>
        <v>0</v>
      </c>
      <c r="L35" s="52" t="str">
        <f t="shared" si="4"/>
        <v/>
      </c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3"/>
      <c r="B36" s="52"/>
      <c r="C36" s="52"/>
      <c r="D36" s="52"/>
      <c r="E36" s="54"/>
      <c r="F36" s="52"/>
      <c r="G36" s="55"/>
      <c r="H36" s="55"/>
      <c r="I36" s="56">
        <f t="shared" si="1"/>
        <v>0</v>
      </c>
      <c r="J36" s="54">
        <f t="shared" si="2"/>
        <v>0</v>
      </c>
      <c r="K36" s="54">
        <f t="shared" si="3"/>
        <v>0</v>
      </c>
      <c r="L36" s="52" t="str">
        <f t="shared" si="4"/>
        <v/>
      </c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3"/>
      <c r="B37" s="52"/>
      <c r="C37" s="52"/>
      <c r="D37" s="52"/>
      <c r="E37" s="54"/>
      <c r="F37" s="52"/>
      <c r="G37" s="55"/>
      <c r="H37" s="55"/>
      <c r="I37" s="56">
        <f t="shared" si="1"/>
        <v>0</v>
      </c>
      <c r="J37" s="54">
        <f t="shared" si="2"/>
        <v>0</v>
      </c>
      <c r="K37" s="54">
        <f t="shared" si="3"/>
        <v>0</v>
      </c>
      <c r="L37" s="52" t="str">
        <f t="shared" si="4"/>
        <v/>
      </c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3"/>
      <c r="B38" s="52"/>
      <c r="C38" s="52"/>
      <c r="D38" s="52"/>
      <c r="E38" s="54"/>
      <c r="F38" s="52"/>
      <c r="G38" s="55"/>
      <c r="H38" s="55"/>
      <c r="I38" s="56">
        <f t="shared" si="1"/>
        <v>0</v>
      </c>
      <c r="J38" s="54">
        <f t="shared" si="2"/>
        <v>0</v>
      </c>
      <c r="K38" s="54">
        <f t="shared" si="3"/>
        <v>0</v>
      </c>
      <c r="L38" s="52" t="str">
        <f t="shared" si="4"/>
        <v/>
      </c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3"/>
      <c r="B39" s="52"/>
      <c r="C39" s="52"/>
      <c r="D39" s="52"/>
      <c r="E39" s="54"/>
      <c r="F39" s="52"/>
      <c r="G39" s="55"/>
      <c r="H39" s="55"/>
      <c r="I39" s="56">
        <f t="shared" si="1"/>
        <v>0</v>
      </c>
      <c r="J39" s="54">
        <f t="shared" si="2"/>
        <v>0</v>
      </c>
      <c r="K39" s="54">
        <f t="shared" si="3"/>
        <v>0</v>
      </c>
      <c r="L39" s="52" t="str">
        <f t="shared" si="4"/>
        <v/>
      </c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3"/>
      <c r="B40" s="52"/>
      <c r="C40" s="52"/>
      <c r="D40" s="52"/>
      <c r="E40" s="54"/>
      <c r="F40" s="52"/>
      <c r="G40" s="55"/>
      <c r="H40" s="55"/>
      <c r="I40" s="56">
        <f t="shared" si="1"/>
        <v>0</v>
      </c>
      <c r="J40" s="54">
        <f t="shared" si="2"/>
        <v>0</v>
      </c>
      <c r="K40" s="54">
        <f t="shared" si="3"/>
        <v>0</v>
      </c>
      <c r="L40" s="52" t="str">
        <f t="shared" si="4"/>
        <v/>
      </c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3"/>
      <c r="B41" s="52"/>
      <c r="C41" s="52"/>
      <c r="D41" s="52"/>
      <c r="E41" s="54"/>
      <c r="F41" s="52"/>
      <c r="G41" s="55"/>
      <c r="H41" s="55"/>
      <c r="I41" s="56">
        <f t="shared" si="1"/>
        <v>0</v>
      </c>
      <c r="J41" s="54">
        <f t="shared" si="2"/>
        <v>0</v>
      </c>
      <c r="K41" s="54">
        <f t="shared" si="3"/>
        <v>0</v>
      </c>
      <c r="L41" s="52" t="str">
        <f t="shared" si="4"/>
        <v/>
      </c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3"/>
      <c r="B42" s="52"/>
      <c r="C42" s="52"/>
      <c r="D42" s="52"/>
      <c r="E42" s="54"/>
      <c r="F42" s="52"/>
      <c r="G42" s="55"/>
      <c r="H42" s="55"/>
      <c r="I42" s="56">
        <f t="shared" si="1"/>
        <v>0</v>
      </c>
      <c r="J42" s="54">
        <f t="shared" si="2"/>
        <v>0</v>
      </c>
      <c r="K42" s="54">
        <f t="shared" si="3"/>
        <v>0</v>
      </c>
      <c r="L42" s="52" t="str">
        <f t="shared" si="4"/>
        <v/>
      </c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3"/>
      <c r="B43" s="52"/>
      <c r="C43" s="52"/>
      <c r="D43" s="52"/>
      <c r="E43" s="54"/>
      <c r="F43" s="52"/>
      <c r="G43" s="55"/>
      <c r="H43" s="55"/>
      <c r="I43" s="56">
        <f t="shared" si="1"/>
        <v>0</v>
      </c>
      <c r="J43" s="54">
        <f t="shared" si="2"/>
        <v>0</v>
      </c>
      <c r="K43" s="54">
        <f t="shared" si="3"/>
        <v>0</v>
      </c>
      <c r="L43" s="52" t="str">
        <f t="shared" si="4"/>
        <v/>
      </c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3"/>
      <c r="B44" s="52"/>
      <c r="C44" s="52"/>
      <c r="D44" s="52"/>
      <c r="E44" s="54"/>
      <c r="F44" s="52"/>
      <c r="G44" s="55"/>
      <c r="H44" s="55"/>
      <c r="I44" s="56">
        <f t="shared" si="1"/>
        <v>0</v>
      </c>
      <c r="J44" s="54">
        <f t="shared" si="2"/>
        <v>0</v>
      </c>
      <c r="K44" s="54">
        <f t="shared" si="3"/>
        <v>0</v>
      </c>
      <c r="L44" s="52" t="str">
        <f t="shared" si="4"/>
        <v/>
      </c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3"/>
      <c r="B45" s="52"/>
      <c r="C45" s="52"/>
      <c r="D45" s="52"/>
      <c r="E45" s="54"/>
      <c r="F45" s="52"/>
      <c r="G45" s="55"/>
      <c r="H45" s="55"/>
      <c r="I45" s="56">
        <f t="shared" si="1"/>
        <v>0</v>
      </c>
      <c r="J45" s="54">
        <f t="shared" si="2"/>
        <v>0</v>
      </c>
      <c r="K45" s="54">
        <f t="shared" si="3"/>
        <v>0</v>
      </c>
      <c r="L45" s="52" t="str">
        <f t="shared" si="4"/>
        <v/>
      </c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3"/>
      <c r="B46" s="52"/>
      <c r="C46" s="52"/>
      <c r="D46" s="52"/>
      <c r="E46" s="54"/>
      <c r="F46" s="52"/>
      <c r="G46" s="55"/>
      <c r="H46" s="55"/>
      <c r="I46" s="56">
        <f t="shared" si="1"/>
        <v>0</v>
      </c>
      <c r="J46" s="54">
        <f t="shared" si="2"/>
        <v>0</v>
      </c>
      <c r="K46" s="54">
        <f t="shared" si="3"/>
        <v>0</v>
      </c>
      <c r="L46" s="52" t="str">
        <f t="shared" si="4"/>
        <v/>
      </c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3"/>
      <c r="B47" s="52"/>
      <c r="C47" s="52"/>
      <c r="D47" s="52"/>
      <c r="E47" s="54"/>
      <c r="F47" s="52"/>
      <c r="G47" s="55"/>
      <c r="H47" s="55"/>
      <c r="I47" s="56">
        <f t="shared" si="1"/>
        <v>0</v>
      </c>
      <c r="J47" s="54">
        <f t="shared" si="2"/>
        <v>0</v>
      </c>
      <c r="K47" s="54">
        <f t="shared" si="3"/>
        <v>0</v>
      </c>
      <c r="L47" s="52" t="str">
        <f t="shared" si="4"/>
        <v/>
      </c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3"/>
      <c r="B48" s="52"/>
      <c r="C48" s="52"/>
      <c r="D48" s="52"/>
      <c r="E48" s="54"/>
      <c r="F48" s="52"/>
      <c r="G48" s="55"/>
      <c r="H48" s="55"/>
      <c r="I48" s="56">
        <f t="shared" si="1"/>
        <v>0</v>
      </c>
      <c r="J48" s="54">
        <f t="shared" si="2"/>
        <v>0</v>
      </c>
      <c r="K48" s="54">
        <f t="shared" si="3"/>
        <v>0</v>
      </c>
      <c r="L48" s="52" t="str">
        <f t="shared" si="4"/>
        <v/>
      </c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3"/>
      <c r="B49" s="52"/>
      <c r="C49" s="52"/>
      <c r="D49" s="52"/>
      <c r="E49" s="54"/>
      <c r="F49" s="52"/>
      <c r="G49" s="55"/>
      <c r="H49" s="55"/>
      <c r="I49" s="56">
        <f t="shared" si="1"/>
        <v>0</v>
      </c>
      <c r="J49" s="54">
        <f t="shared" si="2"/>
        <v>0</v>
      </c>
      <c r="K49" s="54">
        <f t="shared" si="3"/>
        <v>0</v>
      </c>
      <c r="L49" s="52" t="str">
        <f t="shared" si="4"/>
        <v/>
      </c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3"/>
      <c r="B50" s="52"/>
      <c r="C50" s="52"/>
      <c r="D50" s="52"/>
      <c r="E50" s="54"/>
      <c r="F50" s="52"/>
      <c r="G50" s="55"/>
      <c r="H50" s="55"/>
      <c r="I50" s="56">
        <f t="shared" si="1"/>
        <v>0</v>
      </c>
      <c r="J50" s="54">
        <f t="shared" si="2"/>
        <v>0</v>
      </c>
      <c r="K50" s="54">
        <f t="shared" si="3"/>
        <v>0</v>
      </c>
      <c r="L50" s="52" t="str">
        <f t="shared" si="4"/>
        <v/>
      </c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3"/>
      <c r="B51" s="52"/>
      <c r="C51" s="52"/>
      <c r="D51" s="52"/>
      <c r="E51" s="54"/>
      <c r="F51" s="52"/>
      <c r="G51" s="55"/>
      <c r="H51" s="55"/>
      <c r="I51" s="56">
        <f t="shared" si="1"/>
        <v>0</v>
      </c>
      <c r="J51" s="54">
        <f t="shared" si="2"/>
        <v>0</v>
      </c>
      <c r="K51" s="54">
        <f t="shared" si="3"/>
        <v>0</v>
      </c>
      <c r="L51" s="52" t="str">
        <f t="shared" si="4"/>
        <v/>
      </c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3"/>
      <c r="B52" s="52"/>
      <c r="C52" s="52"/>
      <c r="D52" s="52"/>
      <c r="E52" s="54"/>
      <c r="F52" s="52"/>
      <c r="G52" s="55"/>
      <c r="H52" s="55"/>
      <c r="I52" s="56">
        <f t="shared" si="1"/>
        <v>0</v>
      </c>
      <c r="J52" s="54">
        <f t="shared" si="2"/>
        <v>0</v>
      </c>
      <c r="K52" s="54">
        <f t="shared" si="3"/>
        <v>0</v>
      </c>
      <c r="L52" s="52" t="str">
        <f t="shared" si="4"/>
        <v/>
      </c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3"/>
      <c r="B53" s="52"/>
      <c r="C53" s="52"/>
      <c r="D53" s="52"/>
      <c r="E53" s="54"/>
      <c r="F53" s="52"/>
      <c r="G53" s="55"/>
      <c r="H53" s="55"/>
      <c r="I53" s="56">
        <f t="shared" si="1"/>
        <v>0</v>
      </c>
      <c r="J53" s="54">
        <f t="shared" si="2"/>
        <v>0</v>
      </c>
      <c r="K53" s="54">
        <f t="shared" si="3"/>
        <v>0</v>
      </c>
      <c r="L53" s="52" t="str">
        <f t="shared" si="4"/>
        <v/>
      </c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3"/>
      <c r="B54" s="52"/>
      <c r="C54" s="52"/>
      <c r="D54" s="52"/>
      <c r="E54" s="54"/>
      <c r="F54" s="52"/>
      <c r="G54" s="55"/>
      <c r="H54" s="55"/>
      <c r="I54" s="56">
        <f t="shared" si="1"/>
        <v>0</v>
      </c>
      <c r="J54" s="54">
        <f t="shared" si="2"/>
        <v>0</v>
      </c>
      <c r="K54" s="54">
        <f t="shared" si="3"/>
        <v>0</v>
      </c>
      <c r="L54" s="52" t="str">
        <f t="shared" si="4"/>
        <v/>
      </c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3"/>
      <c r="B55" s="52"/>
      <c r="C55" s="52"/>
      <c r="D55" s="52"/>
      <c r="E55" s="54"/>
      <c r="F55" s="52"/>
      <c r="G55" s="55"/>
      <c r="H55" s="55"/>
      <c r="I55" s="56">
        <f t="shared" si="1"/>
        <v>0</v>
      </c>
      <c r="J55" s="54">
        <f t="shared" si="2"/>
        <v>0</v>
      </c>
      <c r="K55" s="54">
        <f t="shared" si="3"/>
        <v>0</v>
      </c>
      <c r="L55" s="52" t="str">
        <f t="shared" si="4"/>
        <v/>
      </c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3"/>
      <c r="B56" s="52"/>
      <c r="C56" s="52"/>
      <c r="D56" s="52"/>
      <c r="E56" s="54"/>
      <c r="F56" s="52"/>
      <c r="G56" s="55"/>
      <c r="H56" s="55"/>
      <c r="I56" s="56">
        <f t="shared" si="1"/>
        <v>0</v>
      </c>
      <c r="J56" s="54">
        <f t="shared" si="2"/>
        <v>0</v>
      </c>
      <c r="K56" s="54">
        <f t="shared" si="3"/>
        <v>0</v>
      </c>
      <c r="L56" s="52" t="str">
        <f t="shared" si="4"/>
        <v/>
      </c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3"/>
      <c r="B57" s="52"/>
      <c r="C57" s="52"/>
      <c r="D57" s="52"/>
      <c r="E57" s="54"/>
      <c r="F57" s="52"/>
      <c r="G57" s="55"/>
      <c r="H57" s="55"/>
      <c r="I57" s="56">
        <f t="shared" si="1"/>
        <v>0</v>
      </c>
      <c r="J57" s="54">
        <f t="shared" si="2"/>
        <v>0</v>
      </c>
      <c r="K57" s="54">
        <f t="shared" si="3"/>
        <v>0</v>
      </c>
      <c r="L57" s="52" t="str">
        <f t="shared" si="4"/>
        <v/>
      </c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3"/>
      <c r="B58" s="52"/>
      <c r="C58" s="52"/>
      <c r="D58" s="52"/>
      <c r="E58" s="54"/>
      <c r="F58" s="52"/>
      <c r="G58" s="55"/>
      <c r="H58" s="55"/>
      <c r="I58" s="56">
        <f t="shared" si="1"/>
        <v>0</v>
      </c>
      <c r="J58" s="54">
        <f t="shared" si="2"/>
        <v>0</v>
      </c>
      <c r="K58" s="54">
        <f t="shared" si="3"/>
        <v>0</v>
      </c>
      <c r="L58" s="52" t="str">
        <f t="shared" si="4"/>
        <v/>
      </c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3"/>
      <c r="B59" s="52"/>
      <c r="C59" s="52"/>
      <c r="D59" s="52"/>
      <c r="E59" s="54"/>
      <c r="F59" s="52"/>
      <c r="G59" s="55"/>
      <c r="H59" s="55"/>
      <c r="I59" s="56">
        <f t="shared" si="1"/>
        <v>0</v>
      </c>
      <c r="J59" s="54">
        <f t="shared" si="2"/>
        <v>0</v>
      </c>
      <c r="K59" s="54">
        <f t="shared" si="3"/>
        <v>0</v>
      </c>
      <c r="L59" s="52" t="str">
        <f t="shared" si="4"/>
        <v/>
      </c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3"/>
      <c r="B60" s="52"/>
      <c r="C60" s="52"/>
      <c r="D60" s="52"/>
      <c r="E60" s="54"/>
      <c r="F60" s="52"/>
      <c r="G60" s="55"/>
      <c r="H60" s="55"/>
      <c r="I60" s="56">
        <f t="shared" si="1"/>
        <v>0</v>
      </c>
      <c r="J60" s="54">
        <f t="shared" si="2"/>
        <v>0</v>
      </c>
      <c r="K60" s="54">
        <f t="shared" si="3"/>
        <v>0</v>
      </c>
      <c r="L60" s="52" t="str">
        <f t="shared" si="4"/>
        <v/>
      </c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3"/>
      <c r="B61" s="52"/>
      <c r="C61" s="52"/>
      <c r="D61" s="52"/>
      <c r="E61" s="54"/>
      <c r="F61" s="52"/>
      <c r="G61" s="55"/>
      <c r="H61" s="55"/>
      <c r="I61" s="56">
        <f t="shared" si="1"/>
        <v>0</v>
      </c>
      <c r="J61" s="54">
        <f t="shared" si="2"/>
        <v>0</v>
      </c>
      <c r="K61" s="54">
        <f t="shared" si="3"/>
        <v>0</v>
      </c>
      <c r="L61" s="52" t="str">
        <f t="shared" si="4"/>
        <v/>
      </c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3"/>
      <c r="B62" s="52"/>
      <c r="C62" s="52"/>
      <c r="D62" s="52"/>
      <c r="E62" s="54"/>
      <c r="F62" s="52"/>
      <c r="G62" s="55"/>
      <c r="H62" s="55"/>
      <c r="I62" s="56">
        <f t="shared" si="1"/>
        <v>0</v>
      </c>
      <c r="J62" s="54">
        <f t="shared" si="2"/>
        <v>0</v>
      </c>
      <c r="K62" s="54">
        <f t="shared" si="3"/>
        <v>0</v>
      </c>
      <c r="L62" s="52" t="str">
        <f t="shared" si="4"/>
        <v/>
      </c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3"/>
      <c r="B63" s="52"/>
      <c r="C63" s="52"/>
      <c r="D63" s="52"/>
      <c r="E63" s="54"/>
      <c r="F63" s="52"/>
      <c r="G63" s="55"/>
      <c r="H63" s="55"/>
      <c r="I63" s="56">
        <f t="shared" si="1"/>
        <v>0</v>
      </c>
      <c r="J63" s="54">
        <f t="shared" si="2"/>
        <v>0</v>
      </c>
      <c r="K63" s="54">
        <f t="shared" si="3"/>
        <v>0</v>
      </c>
      <c r="L63" s="52" t="str">
        <f t="shared" si="4"/>
        <v/>
      </c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3"/>
      <c r="B64" s="52"/>
      <c r="C64" s="52"/>
      <c r="D64" s="52"/>
      <c r="E64" s="54"/>
      <c r="F64" s="52"/>
      <c r="G64" s="55"/>
      <c r="H64" s="55"/>
      <c r="I64" s="56">
        <f t="shared" si="1"/>
        <v>0</v>
      </c>
      <c r="J64" s="54">
        <f t="shared" si="2"/>
        <v>0</v>
      </c>
      <c r="K64" s="54">
        <f t="shared" si="3"/>
        <v>0</v>
      </c>
      <c r="L64" s="52" t="str">
        <f t="shared" si="4"/>
        <v/>
      </c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3"/>
      <c r="B65" s="52"/>
      <c r="C65" s="52"/>
      <c r="D65" s="52"/>
      <c r="E65" s="54"/>
      <c r="F65" s="52"/>
      <c r="G65" s="55"/>
      <c r="H65" s="55"/>
      <c r="I65" s="56">
        <f t="shared" si="1"/>
        <v>0</v>
      </c>
      <c r="J65" s="54">
        <f t="shared" si="2"/>
        <v>0</v>
      </c>
      <c r="K65" s="54">
        <f t="shared" si="3"/>
        <v>0</v>
      </c>
      <c r="L65" s="52" t="str">
        <f t="shared" si="4"/>
        <v/>
      </c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3"/>
      <c r="B66" s="52"/>
      <c r="C66" s="52"/>
      <c r="D66" s="52"/>
      <c r="E66" s="54"/>
      <c r="F66" s="52"/>
      <c r="G66" s="55"/>
      <c r="H66" s="55"/>
      <c r="I66" s="56">
        <f t="shared" si="1"/>
        <v>0</v>
      </c>
      <c r="J66" s="54">
        <f t="shared" si="2"/>
        <v>0</v>
      </c>
      <c r="K66" s="54">
        <f t="shared" si="3"/>
        <v>0</v>
      </c>
      <c r="L66" s="52" t="str">
        <f t="shared" si="4"/>
        <v/>
      </c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3"/>
      <c r="B67" s="52"/>
      <c r="C67" s="52"/>
      <c r="D67" s="52"/>
      <c r="E67" s="54"/>
      <c r="F67" s="52"/>
      <c r="G67" s="55"/>
      <c r="H67" s="55"/>
      <c r="I67" s="56">
        <f t="shared" si="1"/>
        <v>0</v>
      </c>
      <c r="J67" s="54">
        <f t="shared" si="2"/>
        <v>0</v>
      </c>
      <c r="K67" s="54">
        <f t="shared" si="3"/>
        <v>0</v>
      </c>
      <c r="L67" s="52" t="str">
        <f t="shared" si="4"/>
        <v/>
      </c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3"/>
      <c r="B68" s="52"/>
      <c r="C68" s="52"/>
      <c r="D68" s="52"/>
      <c r="E68" s="54"/>
      <c r="F68" s="52"/>
      <c r="G68" s="55"/>
      <c r="H68" s="55"/>
      <c r="I68" s="56">
        <f t="shared" si="1"/>
        <v>0</v>
      </c>
      <c r="J68" s="54">
        <f t="shared" si="2"/>
        <v>0</v>
      </c>
      <c r="K68" s="54">
        <f t="shared" si="3"/>
        <v>0</v>
      </c>
      <c r="L68" s="52" t="str">
        <f t="shared" si="4"/>
        <v/>
      </c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3"/>
      <c r="B69" s="52"/>
      <c r="C69" s="52"/>
      <c r="D69" s="52"/>
      <c r="E69" s="54"/>
      <c r="F69" s="52"/>
      <c r="G69" s="55"/>
      <c r="H69" s="55"/>
      <c r="I69" s="56">
        <f t="shared" si="1"/>
        <v>0</v>
      </c>
      <c r="J69" s="54">
        <f t="shared" si="2"/>
        <v>0</v>
      </c>
      <c r="K69" s="54">
        <f t="shared" si="3"/>
        <v>0</v>
      </c>
      <c r="L69" s="52" t="str">
        <f t="shared" si="4"/>
        <v/>
      </c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3"/>
      <c r="B70" s="52"/>
      <c r="C70" s="52"/>
      <c r="D70" s="52"/>
      <c r="E70" s="54"/>
      <c r="F70" s="52"/>
      <c r="G70" s="55"/>
      <c r="H70" s="55"/>
      <c r="I70" s="56">
        <f t="shared" si="1"/>
        <v>0</v>
      </c>
      <c r="J70" s="54">
        <f t="shared" si="2"/>
        <v>0</v>
      </c>
      <c r="K70" s="54">
        <f t="shared" si="3"/>
        <v>0</v>
      </c>
      <c r="L70" s="52" t="str">
        <f t="shared" si="4"/>
        <v/>
      </c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3"/>
      <c r="B71" s="52"/>
      <c r="C71" s="52"/>
      <c r="D71" s="52"/>
      <c r="E71" s="54"/>
      <c r="F71" s="52"/>
      <c r="G71" s="55"/>
      <c r="H71" s="55"/>
      <c r="I71" s="56">
        <f t="shared" si="1"/>
        <v>0</v>
      </c>
      <c r="J71" s="54">
        <f t="shared" si="2"/>
        <v>0</v>
      </c>
      <c r="K71" s="54">
        <f t="shared" si="3"/>
        <v>0</v>
      </c>
      <c r="L71" s="52" t="str">
        <f t="shared" si="4"/>
        <v/>
      </c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3"/>
      <c r="B72" s="52"/>
      <c r="C72" s="52"/>
      <c r="D72" s="52"/>
      <c r="E72" s="54"/>
      <c r="F72" s="52"/>
      <c r="G72" s="55"/>
      <c r="H72" s="55"/>
      <c r="I72" s="56">
        <f t="shared" si="1"/>
        <v>0</v>
      </c>
      <c r="J72" s="54">
        <f t="shared" si="2"/>
        <v>0</v>
      </c>
      <c r="K72" s="54">
        <f t="shared" si="3"/>
        <v>0</v>
      </c>
      <c r="L72" s="52" t="str">
        <f t="shared" si="4"/>
        <v/>
      </c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3"/>
      <c r="B73" s="52"/>
      <c r="C73" s="52"/>
      <c r="D73" s="52"/>
      <c r="E73" s="54"/>
      <c r="F73" s="52"/>
      <c r="G73" s="55"/>
      <c r="H73" s="55"/>
      <c r="I73" s="56">
        <f t="shared" si="1"/>
        <v>0</v>
      </c>
      <c r="J73" s="54">
        <f t="shared" si="2"/>
        <v>0</v>
      </c>
      <c r="K73" s="54">
        <f t="shared" si="3"/>
        <v>0</v>
      </c>
      <c r="L73" s="52" t="str">
        <f t="shared" si="4"/>
        <v/>
      </c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3"/>
      <c r="B74" s="52"/>
      <c r="C74" s="52"/>
      <c r="D74" s="52"/>
      <c r="E74" s="54"/>
      <c r="F74" s="52"/>
      <c r="G74" s="55"/>
      <c r="H74" s="55"/>
      <c r="I74" s="56">
        <f t="shared" si="1"/>
        <v>0</v>
      </c>
      <c r="J74" s="54">
        <f t="shared" si="2"/>
        <v>0</v>
      </c>
      <c r="K74" s="54">
        <f t="shared" si="3"/>
        <v>0</v>
      </c>
      <c r="L74" s="52" t="str">
        <f t="shared" si="4"/>
        <v/>
      </c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3"/>
      <c r="B75" s="52"/>
      <c r="C75" s="52"/>
      <c r="D75" s="52"/>
      <c r="E75" s="54"/>
      <c r="F75" s="52"/>
      <c r="G75" s="55"/>
      <c r="H75" s="55"/>
      <c r="I75" s="56">
        <f t="shared" si="1"/>
        <v>0</v>
      </c>
      <c r="J75" s="54">
        <f t="shared" si="2"/>
        <v>0</v>
      </c>
      <c r="K75" s="54">
        <f t="shared" si="3"/>
        <v>0</v>
      </c>
      <c r="L75" s="52" t="str">
        <f t="shared" si="4"/>
        <v/>
      </c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3"/>
      <c r="B76" s="52"/>
      <c r="C76" s="52"/>
      <c r="D76" s="52"/>
      <c r="E76" s="54"/>
      <c r="F76" s="52"/>
      <c r="G76" s="55"/>
      <c r="H76" s="55"/>
      <c r="I76" s="56">
        <f t="shared" si="1"/>
        <v>0</v>
      </c>
      <c r="J76" s="54">
        <f t="shared" si="2"/>
        <v>0</v>
      </c>
      <c r="K76" s="54">
        <f t="shared" si="3"/>
        <v>0</v>
      </c>
      <c r="L76" s="52" t="str">
        <f t="shared" si="4"/>
        <v/>
      </c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3"/>
      <c r="B77" s="52"/>
      <c r="C77" s="52"/>
      <c r="D77" s="52"/>
      <c r="E77" s="54"/>
      <c r="F77" s="52"/>
      <c r="G77" s="55"/>
      <c r="H77" s="55"/>
      <c r="I77" s="56">
        <f t="shared" si="1"/>
        <v>0</v>
      </c>
      <c r="J77" s="54">
        <f t="shared" si="2"/>
        <v>0</v>
      </c>
      <c r="K77" s="54">
        <f t="shared" si="3"/>
        <v>0</v>
      </c>
      <c r="L77" s="52" t="str">
        <f t="shared" si="4"/>
        <v/>
      </c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3"/>
      <c r="B78" s="52"/>
      <c r="C78" s="52"/>
      <c r="D78" s="52"/>
      <c r="E78" s="54"/>
      <c r="F78" s="52"/>
      <c r="G78" s="55"/>
      <c r="H78" s="55"/>
      <c r="I78" s="56">
        <f t="shared" si="1"/>
        <v>0</v>
      </c>
      <c r="J78" s="54">
        <f t="shared" si="2"/>
        <v>0</v>
      </c>
      <c r="K78" s="54">
        <f t="shared" si="3"/>
        <v>0</v>
      </c>
      <c r="L78" s="52" t="str">
        <f t="shared" si="4"/>
        <v/>
      </c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3"/>
      <c r="B79" s="52"/>
      <c r="C79" s="52"/>
      <c r="D79" s="52"/>
      <c r="E79" s="54"/>
      <c r="F79" s="52"/>
      <c r="G79" s="55"/>
      <c r="H79" s="55"/>
      <c r="I79" s="56">
        <f t="shared" si="1"/>
        <v>0</v>
      </c>
      <c r="J79" s="54">
        <f t="shared" si="2"/>
        <v>0</v>
      </c>
      <c r="K79" s="54">
        <f t="shared" si="3"/>
        <v>0</v>
      </c>
      <c r="L79" s="52" t="str">
        <f t="shared" si="4"/>
        <v/>
      </c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3"/>
      <c r="B80" s="52"/>
      <c r="C80" s="52"/>
      <c r="D80" s="52"/>
      <c r="E80" s="54"/>
      <c r="F80" s="52"/>
      <c r="G80" s="55"/>
      <c r="H80" s="55"/>
      <c r="I80" s="56">
        <f t="shared" si="1"/>
        <v>0</v>
      </c>
      <c r="J80" s="54">
        <f t="shared" si="2"/>
        <v>0</v>
      </c>
      <c r="K80" s="54">
        <f t="shared" si="3"/>
        <v>0</v>
      </c>
      <c r="L80" s="52" t="str">
        <f t="shared" si="4"/>
        <v/>
      </c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3"/>
      <c r="B81" s="52"/>
      <c r="C81" s="52"/>
      <c r="D81" s="52"/>
      <c r="E81" s="54"/>
      <c r="F81" s="52"/>
      <c r="G81" s="55"/>
      <c r="H81" s="55"/>
      <c r="I81" s="56">
        <f t="shared" si="1"/>
        <v>0</v>
      </c>
      <c r="J81" s="54">
        <f t="shared" si="2"/>
        <v>0</v>
      </c>
      <c r="K81" s="54">
        <f t="shared" si="3"/>
        <v>0</v>
      </c>
      <c r="L81" s="52" t="str">
        <f t="shared" si="4"/>
        <v/>
      </c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3"/>
      <c r="B82" s="52"/>
      <c r="C82" s="52"/>
      <c r="D82" s="52"/>
      <c r="E82" s="54"/>
      <c r="F82" s="52"/>
      <c r="G82" s="55"/>
      <c r="H82" s="55"/>
      <c r="I82" s="56">
        <f t="shared" si="1"/>
        <v>0</v>
      </c>
      <c r="J82" s="54">
        <f t="shared" si="2"/>
        <v>0</v>
      </c>
      <c r="K82" s="54">
        <f t="shared" si="3"/>
        <v>0</v>
      </c>
      <c r="L82" s="52" t="str">
        <f t="shared" si="4"/>
        <v/>
      </c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3"/>
      <c r="B83" s="52"/>
      <c r="C83" s="52"/>
      <c r="D83" s="52"/>
      <c r="E83" s="54"/>
      <c r="F83" s="52"/>
      <c r="G83" s="55"/>
      <c r="H83" s="55"/>
      <c r="I83" s="56">
        <f t="shared" si="1"/>
        <v>0</v>
      </c>
      <c r="J83" s="54">
        <f t="shared" si="2"/>
        <v>0</v>
      </c>
      <c r="K83" s="54">
        <f t="shared" si="3"/>
        <v>0</v>
      </c>
      <c r="L83" s="52" t="str">
        <f t="shared" si="4"/>
        <v/>
      </c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3"/>
      <c r="B84" s="52"/>
      <c r="C84" s="52"/>
      <c r="D84" s="52"/>
      <c r="E84" s="54"/>
      <c r="F84" s="52"/>
      <c r="G84" s="55"/>
      <c r="H84" s="55"/>
      <c r="I84" s="56">
        <f t="shared" si="1"/>
        <v>0</v>
      </c>
      <c r="J84" s="54">
        <f t="shared" si="2"/>
        <v>0</v>
      </c>
      <c r="K84" s="54">
        <f t="shared" si="3"/>
        <v>0</v>
      </c>
      <c r="L84" s="52" t="str">
        <f t="shared" si="4"/>
        <v/>
      </c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3"/>
      <c r="B85" s="52"/>
      <c r="C85" s="52"/>
      <c r="D85" s="52"/>
      <c r="E85" s="54"/>
      <c r="F85" s="52"/>
      <c r="G85" s="55"/>
      <c r="H85" s="55"/>
      <c r="I85" s="56">
        <f t="shared" si="1"/>
        <v>0</v>
      </c>
      <c r="J85" s="54">
        <f t="shared" si="2"/>
        <v>0</v>
      </c>
      <c r="K85" s="54">
        <f t="shared" si="3"/>
        <v>0</v>
      </c>
      <c r="L85" s="52" t="str">
        <f t="shared" si="4"/>
        <v/>
      </c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3"/>
      <c r="B86" s="52"/>
      <c r="C86" s="52"/>
      <c r="D86" s="52"/>
      <c r="E86" s="54"/>
      <c r="F86" s="52"/>
      <c r="G86" s="55"/>
      <c r="H86" s="55"/>
      <c r="I86" s="56">
        <f t="shared" si="1"/>
        <v>0</v>
      </c>
      <c r="J86" s="54">
        <f t="shared" si="2"/>
        <v>0</v>
      </c>
      <c r="K86" s="54">
        <f t="shared" si="3"/>
        <v>0</v>
      </c>
      <c r="L86" s="52" t="str">
        <f t="shared" si="4"/>
        <v/>
      </c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3"/>
      <c r="B87" s="52"/>
      <c r="C87" s="52"/>
      <c r="D87" s="52"/>
      <c r="E87" s="54"/>
      <c r="F87" s="52"/>
      <c r="G87" s="55"/>
      <c r="H87" s="55"/>
      <c r="I87" s="56">
        <f t="shared" si="1"/>
        <v>0</v>
      </c>
      <c r="J87" s="54">
        <f t="shared" si="2"/>
        <v>0</v>
      </c>
      <c r="K87" s="54">
        <f t="shared" si="3"/>
        <v>0</v>
      </c>
      <c r="L87" s="52" t="str">
        <f t="shared" si="4"/>
        <v/>
      </c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3"/>
      <c r="B88" s="52"/>
      <c r="C88" s="52"/>
      <c r="D88" s="52"/>
      <c r="E88" s="54"/>
      <c r="F88" s="52"/>
      <c r="G88" s="55"/>
      <c r="H88" s="55"/>
      <c r="I88" s="56">
        <f t="shared" si="1"/>
        <v>0</v>
      </c>
      <c r="J88" s="54">
        <f t="shared" si="2"/>
        <v>0</v>
      </c>
      <c r="K88" s="54">
        <f t="shared" si="3"/>
        <v>0</v>
      </c>
      <c r="L88" s="52" t="str">
        <f t="shared" si="4"/>
        <v/>
      </c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3"/>
      <c r="B89" s="52"/>
      <c r="C89" s="52"/>
      <c r="D89" s="52"/>
      <c r="E89" s="54"/>
      <c r="F89" s="52"/>
      <c r="G89" s="55"/>
      <c r="H89" s="55"/>
      <c r="I89" s="56">
        <f t="shared" si="1"/>
        <v>0</v>
      </c>
      <c r="J89" s="54">
        <f t="shared" si="2"/>
        <v>0</v>
      </c>
      <c r="K89" s="54">
        <f t="shared" si="3"/>
        <v>0</v>
      </c>
      <c r="L89" s="52" t="str">
        <f t="shared" si="4"/>
        <v/>
      </c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3"/>
      <c r="B90" s="52"/>
      <c r="C90" s="52"/>
      <c r="D90" s="52"/>
      <c r="E90" s="54"/>
      <c r="F90" s="52"/>
      <c r="G90" s="55"/>
      <c r="H90" s="55"/>
      <c r="I90" s="56">
        <f t="shared" si="1"/>
        <v>0</v>
      </c>
      <c r="J90" s="54">
        <f t="shared" si="2"/>
        <v>0</v>
      </c>
      <c r="K90" s="54">
        <f t="shared" si="3"/>
        <v>0</v>
      </c>
      <c r="L90" s="52" t="str">
        <f t="shared" si="4"/>
        <v/>
      </c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3"/>
      <c r="B91" s="52"/>
      <c r="C91" s="52"/>
      <c r="D91" s="52"/>
      <c r="E91" s="54"/>
      <c r="F91" s="52"/>
      <c r="G91" s="55"/>
      <c r="H91" s="55"/>
      <c r="I91" s="56">
        <f t="shared" si="1"/>
        <v>0</v>
      </c>
      <c r="J91" s="54">
        <f t="shared" si="2"/>
        <v>0</v>
      </c>
      <c r="K91" s="54">
        <f t="shared" si="3"/>
        <v>0</v>
      </c>
      <c r="L91" s="52" t="str">
        <f t="shared" si="4"/>
        <v/>
      </c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3"/>
      <c r="B92" s="52"/>
      <c r="C92" s="52"/>
      <c r="D92" s="52"/>
      <c r="E92" s="54"/>
      <c r="F92" s="52"/>
      <c r="G92" s="55"/>
      <c r="H92" s="55"/>
      <c r="I92" s="56">
        <f t="shared" si="1"/>
        <v>0</v>
      </c>
      <c r="J92" s="54">
        <f t="shared" si="2"/>
        <v>0</v>
      </c>
      <c r="K92" s="54">
        <f t="shared" si="3"/>
        <v>0</v>
      </c>
      <c r="L92" s="52" t="str">
        <f t="shared" si="4"/>
        <v/>
      </c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3"/>
      <c r="B93" s="52"/>
      <c r="C93" s="52"/>
      <c r="D93" s="52"/>
      <c r="E93" s="54"/>
      <c r="F93" s="52"/>
      <c r="G93" s="55"/>
      <c r="H93" s="55"/>
      <c r="I93" s="56">
        <f t="shared" si="1"/>
        <v>0</v>
      </c>
      <c r="J93" s="54">
        <f t="shared" si="2"/>
        <v>0</v>
      </c>
      <c r="K93" s="54">
        <f t="shared" si="3"/>
        <v>0</v>
      </c>
      <c r="L93" s="52" t="str">
        <f t="shared" si="4"/>
        <v/>
      </c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3"/>
      <c r="B94" s="52"/>
      <c r="C94" s="52"/>
      <c r="D94" s="52"/>
      <c r="E94" s="54"/>
      <c r="F94" s="52"/>
      <c r="G94" s="55"/>
      <c r="H94" s="55"/>
      <c r="I94" s="56">
        <f t="shared" si="1"/>
        <v>0</v>
      </c>
      <c r="J94" s="54">
        <f t="shared" si="2"/>
        <v>0</v>
      </c>
      <c r="K94" s="54">
        <f t="shared" si="3"/>
        <v>0</v>
      </c>
      <c r="L94" s="52" t="str">
        <f t="shared" si="4"/>
        <v/>
      </c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3"/>
      <c r="B95" s="52"/>
      <c r="C95" s="52"/>
      <c r="D95" s="52"/>
      <c r="E95" s="54"/>
      <c r="F95" s="52"/>
      <c r="G95" s="55"/>
      <c r="H95" s="55"/>
      <c r="I95" s="56">
        <f t="shared" si="1"/>
        <v>0</v>
      </c>
      <c r="J95" s="54">
        <f t="shared" si="2"/>
        <v>0</v>
      </c>
      <c r="K95" s="54">
        <f t="shared" si="3"/>
        <v>0</v>
      </c>
      <c r="L95" s="52" t="str">
        <f t="shared" si="4"/>
        <v/>
      </c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3"/>
      <c r="B96" s="52"/>
      <c r="C96" s="52"/>
      <c r="D96" s="52"/>
      <c r="E96" s="54"/>
      <c r="F96" s="52"/>
      <c r="G96" s="55"/>
      <c r="H96" s="55"/>
      <c r="I96" s="56">
        <f t="shared" si="1"/>
        <v>0</v>
      </c>
      <c r="J96" s="54">
        <f t="shared" si="2"/>
        <v>0</v>
      </c>
      <c r="K96" s="54">
        <f t="shared" si="3"/>
        <v>0</v>
      </c>
      <c r="L96" s="52" t="str">
        <f t="shared" si="4"/>
        <v/>
      </c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3"/>
      <c r="B97" s="52"/>
      <c r="C97" s="52"/>
      <c r="D97" s="52"/>
      <c r="E97" s="54"/>
      <c r="F97" s="52"/>
      <c r="G97" s="55"/>
      <c r="H97" s="55"/>
      <c r="I97" s="56">
        <f t="shared" si="1"/>
        <v>0</v>
      </c>
      <c r="J97" s="54">
        <f t="shared" si="2"/>
        <v>0</v>
      </c>
      <c r="K97" s="54">
        <f t="shared" si="3"/>
        <v>0</v>
      </c>
      <c r="L97" s="52" t="str">
        <f t="shared" si="4"/>
        <v/>
      </c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3"/>
      <c r="B98" s="52"/>
      <c r="C98" s="52"/>
      <c r="D98" s="52"/>
      <c r="E98" s="54"/>
      <c r="F98" s="52"/>
      <c r="G98" s="55"/>
      <c r="H98" s="55"/>
      <c r="I98" s="56">
        <f t="shared" si="1"/>
        <v>0</v>
      </c>
      <c r="J98" s="54">
        <f t="shared" si="2"/>
        <v>0</v>
      </c>
      <c r="K98" s="54">
        <f t="shared" si="3"/>
        <v>0</v>
      </c>
      <c r="L98" s="52" t="str">
        <f t="shared" si="4"/>
        <v/>
      </c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3"/>
      <c r="B99" s="52"/>
      <c r="C99" s="52"/>
      <c r="D99" s="52"/>
      <c r="E99" s="54"/>
      <c r="F99" s="52"/>
      <c r="G99" s="55"/>
      <c r="H99" s="55"/>
      <c r="I99" s="56">
        <f t="shared" si="1"/>
        <v>0</v>
      </c>
      <c r="J99" s="54">
        <f t="shared" si="2"/>
        <v>0</v>
      </c>
      <c r="K99" s="54">
        <f t="shared" si="3"/>
        <v>0</v>
      </c>
      <c r="L99" s="52" t="str">
        <f t="shared" si="4"/>
        <v/>
      </c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3"/>
      <c r="B100" s="52"/>
      <c r="C100" s="52"/>
      <c r="D100" s="52"/>
      <c r="E100" s="54"/>
      <c r="F100" s="52"/>
      <c r="G100" s="55"/>
      <c r="H100" s="55"/>
      <c r="I100" s="56">
        <f t="shared" si="1"/>
        <v>0</v>
      </c>
      <c r="J100" s="54">
        <f t="shared" si="2"/>
        <v>0</v>
      </c>
      <c r="K100" s="54">
        <f t="shared" si="3"/>
        <v>0</v>
      </c>
      <c r="L100" s="52" t="str">
        <f t="shared" si="4"/>
        <v/>
      </c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3"/>
      <c r="B101" s="52"/>
      <c r="C101" s="52"/>
      <c r="D101" s="52"/>
      <c r="E101" s="54"/>
      <c r="F101" s="52"/>
      <c r="G101" s="55"/>
      <c r="H101" s="55"/>
      <c r="I101" s="56">
        <f t="shared" si="1"/>
        <v>0</v>
      </c>
      <c r="J101" s="54">
        <f t="shared" si="2"/>
        <v>0</v>
      </c>
      <c r="K101" s="54">
        <f t="shared" si="3"/>
        <v>0</v>
      </c>
      <c r="L101" s="52" t="str">
        <f t="shared" si="4"/>
        <v/>
      </c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3"/>
      <c r="B102" s="52"/>
      <c r="C102" s="52"/>
      <c r="D102" s="52"/>
      <c r="E102" s="54"/>
      <c r="F102" s="52"/>
      <c r="G102" s="55"/>
      <c r="H102" s="55"/>
      <c r="I102" s="56">
        <f t="shared" si="1"/>
        <v>0</v>
      </c>
      <c r="J102" s="54">
        <f t="shared" si="2"/>
        <v>0</v>
      </c>
      <c r="K102" s="54">
        <f t="shared" si="3"/>
        <v>0</v>
      </c>
      <c r="L102" s="52" t="str">
        <f t="shared" si="4"/>
        <v/>
      </c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3"/>
      <c r="B103" s="52"/>
      <c r="C103" s="52"/>
      <c r="D103" s="52"/>
      <c r="E103" s="54"/>
      <c r="F103" s="52"/>
      <c r="G103" s="55"/>
      <c r="H103" s="55"/>
      <c r="I103" s="56">
        <f t="shared" si="1"/>
        <v>0</v>
      </c>
      <c r="J103" s="54">
        <f t="shared" si="2"/>
        <v>0</v>
      </c>
      <c r="K103" s="54">
        <f t="shared" si="3"/>
        <v>0</v>
      </c>
      <c r="L103" s="52" t="str">
        <f t="shared" si="4"/>
        <v/>
      </c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3"/>
      <c r="B104" s="52"/>
      <c r="C104" s="52"/>
      <c r="D104" s="52"/>
      <c r="E104" s="54"/>
      <c r="F104" s="52"/>
      <c r="G104" s="55"/>
      <c r="H104" s="55"/>
      <c r="I104" s="56">
        <f t="shared" si="1"/>
        <v>0</v>
      </c>
      <c r="J104" s="54">
        <f t="shared" si="2"/>
        <v>0</v>
      </c>
      <c r="K104" s="54">
        <f t="shared" si="3"/>
        <v>0</v>
      </c>
      <c r="L104" s="52" t="str">
        <f t="shared" si="4"/>
        <v/>
      </c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3"/>
      <c r="B105" s="52"/>
      <c r="C105" s="52"/>
      <c r="D105" s="52"/>
      <c r="E105" s="54"/>
      <c r="F105" s="52"/>
      <c r="G105" s="55"/>
      <c r="H105" s="55"/>
      <c r="I105" s="56">
        <f t="shared" si="1"/>
        <v>0</v>
      </c>
      <c r="J105" s="54">
        <f t="shared" si="2"/>
        <v>0</v>
      </c>
      <c r="K105" s="54">
        <f t="shared" si="3"/>
        <v>0</v>
      </c>
      <c r="L105" s="52" t="str">
        <f t="shared" si="4"/>
        <v/>
      </c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3"/>
      <c r="B106" s="52"/>
      <c r="C106" s="52"/>
      <c r="D106" s="52"/>
      <c r="E106" s="54"/>
      <c r="F106" s="52"/>
      <c r="G106" s="55"/>
      <c r="H106" s="55"/>
      <c r="I106" s="56">
        <f t="shared" si="1"/>
        <v>0</v>
      </c>
      <c r="J106" s="54">
        <f t="shared" si="2"/>
        <v>0</v>
      </c>
      <c r="K106" s="54">
        <f t="shared" si="3"/>
        <v>0</v>
      </c>
      <c r="L106" s="52" t="str">
        <f t="shared" si="4"/>
        <v/>
      </c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3"/>
      <c r="B107" s="52"/>
      <c r="C107" s="52"/>
      <c r="D107" s="52"/>
      <c r="E107" s="54"/>
      <c r="F107" s="52"/>
      <c r="G107" s="55"/>
      <c r="H107" s="55"/>
      <c r="I107" s="56">
        <f t="shared" si="1"/>
        <v>0</v>
      </c>
      <c r="J107" s="54">
        <f t="shared" si="2"/>
        <v>0</v>
      </c>
      <c r="K107" s="54">
        <f t="shared" si="3"/>
        <v>0</v>
      </c>
      <c r="L107" s="52" t="str">
        <f t="shared" si="4"/>
        <v/>
      </c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3"/>
      <c r="B108" s="52"/>
      <c r="C108" s="52"/>
      <c r="D108" s="52"/>
      <c r="E108" s="54"/>
      <c r="F108" s="52"/>
      <c r="G108" s="55"/>
      <c r="H108" s="55"/>
      <c r="I108" s="56">
        <f t="shared" si="1"/>
        <v>0</v>
      </c>
      <c r="J108" s="54">
        <f t="shared" si="2"/>
        <v>0</v>
      </c>
      <c r="K108" s="54">
        <f t="shared" si="3"/>
        <v>0</v>
      </c>
      <c r="L108" s="52" t="str">
        <f t="shared" si="4"/>
        <v/>
      </c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3"/>
      <c r="B109" s="52"/>
      <c r="C109" s="52"/>
      <c r="D109" s="52"/>
      <c r="E109" s="54"/>
      <c r="F109" s="52"/>
      <c r="G109" s="55"/>
      <c r="H109" s="55"/>
      <c r="I109" s="56">
        <f t="shared" si="1"/>
        <v>0</v>
      </c>
      <c r="J109" s="54">
        <f t="shared" si="2"/>
        <v>0</v>
      </c>
      <c r="K109" s="54">
        <f t="shared" si="3"/>
        <v>0</v>
      </c>
      <c r="L109" s="52" t="str">
        <f t="shared" si="4"/>
        <v/>
      </c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3"/>
      <c r="B110" s="52"/>
      <c r="C110" s="52"/>
      <c r="D110" s="52"/>
      <c r="E110" s="54"/>
      <c r="F110" s="52"/>
      <c r="G110" s="55"/>
      <c r="H110" s="55"/>
      <c r="I110" s="56">
        <f t="shared" si="1"/>
        <v>0</v>
      </c>
      <c r="J110" s="54">
        <f t="shared" si="2"/>
        <v>0</v>
      </c>
      <c r="K110" s="54">
        <f t="shared" si="3"/>
        <v>0</v>
      </c>
      <c r="L110" s="52" t="str">
        <f t="shared" si="4"/>
        <v/>
      </c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3"/>
      <c r="B111" s="52"/>
      <c r="C111" s="52"/>
      <c r="D111" s="52"/>
      <c r="E111" s="54"/>
      <c r="F111" s="52"/>
      <c r="G111" s="55"/>
      <c r="H111" s="55"/>
      <c r="I111" s="56">
        <f t="shared" si="1"/>
        <v>0</v>
      </c>
      <c r="J111" s="54">
        <f t="shared" si="2"/>
        <v>0</v>
      </c>
      <c r="K111" s="54">
        <f t="shared" si="3"/>
        <v>0</v>
      </c>
      <c r="L111" s="52" t="str">
        <f t="shared" si="4"/>
        <v/>
      </c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3"/>
      <c r="B112" s="52"/>
      <c r="C112" s="52"/>
      <c r="D112" s="52"/>
      <c r="E112" s="54"/>
      <c r="F112" s="52"/>
      <c r="G112" s="55"/>
      <c r="H112" s="55"/>
      <c r="I112" s="56">
        <f t="shared" si="1"/>
        <v>0</v>
      </c>
      <c r="J112" s="54">
        <f t="shared" si="2"/>
        <v>0</v>
      </c>
      <c r="K112" s="54">
        <f t="shared" si="3"/>
        <v>0</v>
      </c>
      <c r="L112" s="52" t="str">
        <f t="shared" si="4"/>
        <v/>
      </c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3"/>
      <c r="B113" s="52"/>
      <c r="C113" s="52"/>
      <c r="D113" s="52"/>
      <c r="E113" s="54"/>
      <c r="F113" s="52"/>
      <c r="G113" s="55"/>
      <c r="H113" s="55"/>
      <c r="I113" s="56">
        <f t="shared" si="1"/>
        <v>0</v>
      </c>
      <c r="J113" s="54">
        <f t="shared" si="2"/>
        <v>0</v>
      </c>
      <c r="K113" s="54">
        <f t="shared" si="3"/>
        <v>0</v>
      </c>
      <c r="L113" s="52" t="str">
        <f t="shared" si="4"/>
        <v/>
      </c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3"/>
      <c r="B114" s="52"/>
      <c r="C114" s="52"/>
      <c r="D114" s="52"/>
      <c r="E114" s="54"/>
      <c r="F114" s="52"/>
      <c r="G114" s="55"/>
      <c r="H114" s="55"/>
      <c r="I114" s="56">
        <f t="shared" si="1"/>
        <v>0</v>
      </c>
      <c r="J114" s="54">
        <f t="shared" si="2"/>
        <v>0</v>
      </c>
      <c r="K114" s="54">
        <f t="shared" si="3"/>
        <v>0</v>
      </c>
      <c r="L114" s="52" t="str">
        <f t="shared" si="4"/>
        <v/>
      </c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3"/>
      <c r="B115" s="52"/>
      <c r="C115" s="52"/>
      <c r="D115" s="52"/>
      <c r="E115" s="54"/>
      <c r="F115" s="52"/>
      <c r="G115" s="55"/>
      <c r="H115" s="55"/>
      <c r="I115" s="56">
        <f t="shared" si="1"/>
        <v>0</v>
      </c>
      <c r="J115" s="54">
        <f t="shared" si="2"/>
        <v>0</v>
      </c>
      <c r="K115" s="54">
        <f t="shared" si="3"/>
        <v>0</v>
      </c>
      <c r="L115" s="52" t="str">
        <f t="shared" si="4"/>
        <v/>
      </c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3"/>
      <c r="B116" s="52"/>
      <c r="C116" s="52"/>
      <c r="D116" s="52"/>
      <c r="E116" s="54"/>
      <c r="F116" s="52"/>
      <c r="G116" s="55"/>
      <c r="H116" s="55"/>
      <c r="I116" s="56">
        <f t="shared" si="1"/>
        <v>0</v>
      </c>
      <c r="J116" s="54">
        <f t="shared" si="2"/>
        <v>0</v>
      </c>
      <c r="K116" s="54">
        <f t="shared" si="3"/>
        <v>0</v>
      </c>
      <c r="L116" s="52" t="str">
        <f t="shared" si="4"/>
        <v/>
      </c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3"/>
      <c r="B117" s="52"/>
      <c r="C117" s="52"/>
      <c r="D117" s="52"/>
      <c r="E117" s="54"/>
      <c r="F117" s="52"/>
      <c r="G117" s="55"/>
      <c r="H117" s="55"/>
      <c r="I117" s="56">
        <f t="shared" si="1"/>
        <v>0</v>
      </c>
      <c r="J117" s="54">
        <f t="shared" si="2"/>
        <v>0</v>
      </c>
      <c r="K117" s="54">
        <f t="shared" si="3"/>
        <v>0</v>
      </c>
      <c r="L117" s="52" t="str">
        <f t="shared" si="4"/>
        <v/>
      </c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3"/>
      <c r="B118" s="52"/>
      <c r="C118" s="52"/>
      <c r="D118" s="52"/>
      <c r="E118" s="54"/>
      <c r="F118" s="52"/>
      <c r="G118" s="55"/>
      <c r="H118" s="55"/>
      <c r="I118" s="56">
        <f t="shared" si="1"/>
        <v>0</v>
      </c>
      <c r="J118" s="54">
        <f t="shared" si="2"/>
        <v>0</v>
      </c>
      <c r="K118" s="54">
        <f t="shared" si="3"/>
        <v>0</v>
      </c>
      <c r="L118" s="52" t="str">
        <f t="shared" si="4"/>
        <v/>
      </c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3"/>
      <c r="B119" s="52"/>
      <c r="C119" s="52"/>
      <c r="D119" s="52"/>
      <c r="E119" s="54"/>
      <c r="F119" s="52"/>
      <c r="G119" s="55"/>
      <c r="H119" s="55"/>
      <c r="I119" s="56">
        <f t="shared" si="1"/>
        <v>0</v>
      </c>
      <c r="J119" s="54">
        <f t="shared" si="2"/>
        <v>0</v>
      </c>
      <c r="K119" s="54">
        <f t="shared" si="3"/>
        <v>0</v>
      </c>
      <c r="L119" s="52" t="str">
        <f t="shared" si="4"/>
        <v/>
      </c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3"/>
      <c r="B120" s="52"/>
      <c r="C120" s="52"/>
      <c r="D120" s="52"/>
      <c r="E120" s="54"/>
      <c r="F120" s="52"/>
      <c r="G120" s="55"/>
      <c r="H120" s="55"/>
      <c r="I120" s="56">
        <f t="shared" si="1"/>
        <v>0</v>
      </c>
      <c r="J120" s="54">
        <f t="shared" si="2"/>
        <v>0</v>
      </c>
      <c r="K120" s="54">
        <f t="shared" si="3"/>
        <v>0</v>
      </c>
      <c r="L120" s="52" t="str">
        <f t="shared" si="4"/>
        <v/>
      </c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3"/>
      <c r="B121" s="52"/>
      <c r="C121" s="52"/>
      <c r="D121" s="52"/>
      <c r="E121" s="54"/>
      <c r="F121" s="52"/>
      <c r="G121" s="55"/>
      <c r="H121" s="55"/>
      <c r="I121" s="56">
        <f t="shared" si="1"/>
        <v>0</v>
      </c>
      <c r="J121" s="54">
        <f t="shared" si="2"/>
        <v>0</v>
      </c>
      <c r="K121" s="54">
        <f t="shared" si="3"/>
        <v>0</v>
      </c>
      <c r="L121" s="52" t="str">
        <f t="shared" si="4"/>
        <v/>
      </c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3"/>
      <c r="B122" s="52"/>
      <c r="C122" s="52"/>
      <c r="D122" s="52"/>
      <c r="E122" s="54"/>
      <c r="F122" s="52"/>
      <c r="G122" s="55"/>
      <c r="H122" s="55"/>
      <c r="I122" s="56">
        <f t="shared" si="1"/>
        <v>0</v>
      </c>
      <c r="J122" s="54">
        <f t="shared" si="2"/>
        <v>0</v>
      </c>
      <c r="K122" s="54">
        <f t="shared" si="3"/>
        <v>0</v>
      </c>
      <c r="L122" s="52" t="str">
        <f t="shared" si="4"/>
        <v/>
      </c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3"/>
      <c r="B123" s="52"/>
      <c r="C123" s="52"/>
      <c r="D123" s="52"/>
      <c r="E123" s="54"/>
      <c r="F123" s="52"/>
      <c r="G123" s="55"/>
      <c r="H123" s="55"/>
      <c r="I123" s="56">
        <f t="shared" si="1"/>
        <v>0</v>
      </c>
      <c r="J123" s="54">
        <f t="shared" si="2"/>
        <v>0</v>
      </c>
      <c r="K123" s="54">
        <f t="shared" si="3"/>
        <v>0</v>
      </c>
      <c r="L123" s="52" t="str">
        <f t="shared" si="4"/>
        <v/>
      </c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3"/>
      <c r="B124" s="52"/>
      <c r="C124" s="52"/>
      <c r="D124" s="52"/>
      <c r="E124" s="54"/>
      <c r="F124" s="52"/>
      <c r="G124" s="55"/>
      <c r="H124" s="55"/>
      <c r="I124" s="56">
        <f t="shared" si="1"/>
        <v>0</v>
      </c>
      <c r="J124" s="54">
        <f t="shared" si="2"/>
        <v>0</v>
      </c>
      <c r="K124" s="54">
        <f t="shared" si="3"/>
        <v>0</v>
      </c>
      <c r="L124" s="52" t="str">
        <f t="shared" si="4"/>
        <v/>
      </c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3"/>
      <c r="B125" s="52"/>
      <c r="C125" s="52"/>
      <c r="D125" s="52"/>
      <c r="E125" s="54"/>
      <c r="F125" s="52"/>
      <c r="G125" s="55"/>
      <c r="H125" s="55"/>
      <c r="I125" s="56">
        <f t="shared" si="1"/>
        <v>0</v>
      </c>
      <c r="J125" s="54">
        <f t="shared" si="2"/>
        <v>0</v>
      </c>
      <c r="K125" s="54">
        <f t="shared" si="3"/>
        <v>0</v>
      </c>
      <c r="L125" s="52" t="str">
        <f t="shared" si="4"/>
        <v/>
      </c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3"/>
      <c r="B126" s="52"/>
      <c r="C126" s="52"/>
      <c r="D126" s="52"/>
      <c r="E126" s="54"/>
      <c r="F126" s="52"/>
      <c r="G126" s="55"/>
      <c r="H126" s="55"/>
      <c r="I126" s="56">
        <f t="shared" si="1"/>
        <v>0</v>
      </c>
      <c r="J126" s="54">
        <f t="shared" si="2"/>
        <v>0</v>
      </c>
      <c r="K126" s="54">
        <f t="shared" si="3"/>
        <v>0</v>
      </c>
      <c r="L126" s="52" t="str">
        <f t="shared" si="4"/>
        <v/>
      </c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3"/>
      <c r="B127" s="52"/>
      <c r="C127" s="52"/>
      <c r="D127" s="52"/>
      <c r="E127" s="54"/>
      <c r="F127" s="52"/>
      <c r="G127" s="55"/>
      <c r="H127" s="55"/>
      <c r="I127" s="56">
        <f t="shared" si="1"/>
        <v>0</v>
      </c>
      <c r="J127" s="54">
        <f t="shared" si="2"/>
        <v>0</v>
      </c>
      <c r="K127" s="54">
        <f t="shared" si="3"/>
        <v>0</v>
      </c>
      <c r="L127" s="52" t="str">
        <f t="shared" si="4"/>
        <v/>
      </c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3"/>
      <c r="B128" s="52"/>
      <c r="C128" s="52"/>
      <c r="D128" s="52"/>
      <c r="E128" s="54"/>
      <c r="F128" s="52"/>
      <c r="G128" s="55"/>
      <c r="H128" s="55"/>
      <c r="I128" s="56">
        <f t="shared" si="1"/>
        <v>0</v>
      </c>
      <c r="J128" s="54">
        <f t="shared" si="2"/>
        <v>0</v>
      </c>
      <c r="K128" s="54">
        <f t="shared" si="3"/>
        <v>0</v>
      </c>
      <c r="L128" s="52" t="str">
        <f t="shared" si="4"/>
        <v/>
      </c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3"/>
      <c r="B129" s="52"/>
      <c r="C129" s="52"/>
      <c r="D129" s="52"/>
      <c r="E129" s="54"/>
      <c r="F129" s="52"/>
      <c r="G129" s="55"/>
      <c r="H129" s="55"/>
      <c r="I129" s="56">
        <f t="shared" si="1"/>
        <v>0</v>
      </c>
      <c r="J129" s="54">
        <f t="shared" si="2"/>
        <v>0</v>
      </c>
      <c r="K129" s="54">
        <f t="shared" si="3"/>
        <v>0</v>
      </c>
      <c r="L129" s="52" t="str">
        <f t="shared" si="4"/>
        <v/>
      </c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3"/>
      <c r="B130" s="52"/>
      <c r="C130" s="52"/>
      <c r="D130" s="52"/>
      <c r="E130" s="54"/>
      <c r="F130" s="52"/>
      <c r="G130" s="55"/>
      <c r="H130" s="55"/>
      <c r="I130" s="56">
        <f t="shared" si="1"/>
        <v>0</v>
      </c>
      <c r="J130" s="54">
        <f t="shared" si="2"/>
        <v>0</v>
      </c>
      <c r="K130" s="54">
        <f t="shared" si="3"/>
        <v>0</v>
      </c>
      <c r="L130" s="52" t="str">
        <f t="shared" si="4"/>
        <v/>
      </c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3"/>
      <c r="B131" s="52"/>
      <c r="C131" s="52"/>
      <c r="D131" s="52"/>
      <c r="E131" s="54"/>
      <c r="F131" s="52"/>
      <c r="G131" s="55"/>
      <c r="H131" s="55"/>
      <c r="I131" s="56">
        <f t="shared" si="1"/>
        <v>0</v>
      </c>
      <c r="J131" s="54">
        <f t="shared" si="2"/>
        <v>0</v>
      </c>
      <c r="K131" s="54">
        <f t="shared" si="3"/>
        <v>0</v>
      </c>
      <c r="L131" s="52" t="str">
        <f t="shared" si="4"/>
        <v/>
      </c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3"/>
      <c r="B132" s="52"/>
      <c r="C132" s="52"/>
      <c r="D132" s="52"/>
      <c r="E132" s="54"/>
      <c r="F132" s="52"/>
      <c r="G132" s="55"/>
      <c r="H132" s="55"/>
      <c r="I132" s="56">
        <f t="shared" si="1"/>
        <v>0</v>
      </c>
      <c r="J132" s="54">
        <f t="shared" si="2"/>
        <v>0</v>
      </c>
      <c r="K132" s="54">
        <f t="shared" si="3"/>
        <v>0</v>
      </c>
      <c r="L132" s="52" t="str">
        <f t="shared" si="4"/>
        <v/>
      </c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3"/>
      <c r="B133" s="52"/>
      <c r="C133" s="52"/>
      <c r="D133" s="52"/>
      <c r="E133" s="54"/>
      <c r="F133" s="52"/>
      <c r="G133" s="55"/>
      <c r="H133" s="55"/>
      <c r="I133" s="56">
        <f t="shared" si="1"/>
        <v>0</v>
      </c>
      <c r="J133" s="54">
        <f t="shared" si="2"/>
        <v>0</v>
      </c>
      <c r="K133" s="54">
        <f t="shared" si="3"/>
        <v>0</v>
      </c>
      <c r="L133" s="52" t="str">
        <f t="shared" si="4"/>
        <v/>
      </c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3"/>
      <c r="B134" s="52"/>
      <c r="C134" s="52"/>
      <c r="D134" s="52"/>
      <c r="E134" s="54"/>
      <c r="F134" s="52"/>
      <c r="G134" s="55"/>
      <c r="H134" s="55"/>
      <c r="I134" s="56">
        <f t="shared" si="1"/>
        <v>0</v>
      </c>
      <c r="J134" s="54">
        <f t="shared" si="2"/>
        <v>0</v>
      </c>
      <c r="K134" s="54">
        <f t="shared" si="3"/>
        <v>0</v>
      </c>
      <c r="L134" s="52" t="str">
        <f t="shared" si="4"/>
        <v/>
      </c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3"/>
      <c r="B135" s="52"/>
      <c r="C135" s="52"/>
      <c r="D135" s="52"/>
      <c r="E135" s="54"/>
      <c r="F135" s="52"/>
      <c r="G135" s="55"/>
      <c r="H135" s="55"/>
      <c r="I135" s="56">
        <f t="shared" si="1"/>
        <v>0</v>
      </c>
      <c r="J135" s="54">
        <f t="shared" si="2"/>
        <v>0</v>
      </c>
      <c r="K135" s="54">
        <f t="shared" si="3"/>
        <v>0</v>
      </c>
      <c r="L135" s="52" t="str">
        <f t="shared" si="4"/>
        <v/>
      </c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3"/>
      <c r="B136" s="52"/>
      <c r="C136" s="52"/>
      <c r="D136" s="52"/>
      <c r="E136" s="54"/>
      <c r="F136" s="52"/>
      <c r="G136" s="55"/>
      <c r="H136" s="55"/>
      <c r="I136" s="56">
        <f t="shared" si="1"/>
        <v>0</v>
      </c>
      <c r="J136" s="54">
        <f t="shared" si="2"/>
        <v>0</v>
      </c>
      <c r="K136" s="54">
        <f t="shared" si="3"/>
        <v>0</v>
      </c>
      <c r="L136" s="52" t="str">
        <f t="shared" si="4"/>
        <v/>
      </c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3"/>
      <c r="B137" s="52"/>
      <c r="C137" s="52"/>
      <c r="D137" s="52"/>
      <c r="E137" s="54"/>
      <c r="F137" s="52"/>
      <c r="G137" s="55"/>
      <c r="H137" s="55"/>
      <c r="I137" s="56">
        <f t="shared" si="1"/>
        <v>0</v>
      </c>
      <c r="J137" s="54">
        <f t="shared" si="2"/>
        <v>0</v>
      </c>
      <c r="K137" s="54">
        <f t="shared" si="3"/>
        <v>0</v>
      </c>
      <c r="L137" s="52" t="str">
        <f t="shared" si="4"/>
        <v/>
      </c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3"/>
      <c r="B138" s="52"/>
      <c r="C138" s="52"/>
      <c r="D138" s="52"/>
      <c r="E138" s="54"/>
      <c r="F138" s="52"/>
      <c r="G138" s="55"/>
      <c r="H138" s="55"/>
      <c r="I138" s="56">
        <f t="shared" si="1"/>
        <v>0</v>
      </c>
      <c r="J138" s="54">
        <f t="shared" si="2"/>
        <v>0</v>
      </c>
      <c r="K138" s="54">
        <f t="shared" si="3"/>
        <v>0</v>
      </c>
      <c r="L138" s="52" t="str">
        <f t="shared" si="4"/>
        <v/>
      </c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3"/>
      <c r="B139" s="52"/>
      <c r="C139" s="52"/>
      <c r="D139" s="52"/>
      <c r="E139" s="54"/>
      <c r="F139" s="52"/>
      <c r="G139" s="55"/>
      <c r="H139" s="55"/>
      <c r="I139" s="56">
        <f t="shared" si="1"/>
        <v>0</v>
      </c>
      <c r="J139" s="54">
        <f t="shared" si="2"/>
        <v>0</v>
      </c>
      <c r="K139" s="54">
        <f t="shared" si="3"/>
        <v>0</v>
      </c>
      <c r="L139" s="52" t="str">
        <f t="shared" si="4"/>
        <v/>
      </c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3"/>
      <c r="B140" s="52"/>
      <c r="C140" s="52"/>
      <c r="D140" s="52"/>
      <c r="E140" s="54"/>
      <c r="F140" s="52"/>
      <c r="G140" s="55"/>
      <c r="H140" s="55"/>
      <c r="I140" s="56">
        <f t="shared" si="1"/>
        <v>0</v>
      </c>
      <c r="J140" s="54">
        <f t="shared" si="2"/>
        <v>0</v>
      </c>
      <c r="K140" s="54">
        <f t="shared" si="3"/>
        <v>0</v>
      </c>
      <c r="L140" s="52" t="str">
        <f t="shared" si="4"/>
        <v/>
      </c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3"/>
      <c r="B141" s="52"/>
      <c r="C141" s="52"/>
      <c r="D141" s="52"/>
      <c r="E141" s="54"/>
      <c r="F141" s="52"/>
      <c r="G141" s="55"/>
      <c r="H141" s="55"/>
      <c r="I141" s="56">
        <f t="shared" si="1"/>
        <v>0</v>
      </c>
      <c r="J141" s="54">
        <f t="shared" si="2"/>
        <v>0</v>
      </c>
      <c r="K141" s="54">
        <f t="shared" si="3"/>
        <v>0</v>
      </c>
      <c r="L141" s="52" t="str">
        <f t="shared" si="4"/>
        <v/>
      </c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3"/>
      <c r="B142" s="52"/>
      <c r="C142" s="52"/>
      <c r="D142" s="52"/>
      <c r="E142" s="54"/>
      <c r="F142" s="52"/>
      <c r="G142" s="55"/>
      <c r="H142" s="55"/>
      <c r="I142" s="56">
        <f t="shared" si="1"/>
        <v>0</v>
      </c>
      <c r="J142" s="54">
        <f t="shared" si="2"/>
        <v>0</v>
      </c>
      <c r="K142" s="54">
        <f t="shared" si="3"/>
        <v>0</v>
      </c>
      <c r="L142" s="52" t="str">
        <f t="shared" si="4"/>
        <v/>
      </c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3"/>
      <c r="B143" s="52"/>
      <c r="C143" s="52"/>
      <c r="D143" s="52"/>
      <c r="E143" s="54"/>
      <c r="F143" s="52"/>
      <c r="G143" s="55"/>
      <c r="H143" s="55"/>
      <c r="I143" s="56">
        <f t="shared" si="1"/>
        <v>0</v>
      </c>
      <c r="J143" s="54">
        <f t="shared" si="2"/>
        <v>0</v>
      </c>
      <c r="K143" s="54">
        <f t="shared" si="3"/>
        <v>0</v>
      </c>
      <c r="L143" s="52" t="str">
        <f t="shared" si="4"/>
        <v/>
      </c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3"/>
      <c r="B144" s="52"/>
      <c r="C144" s="52"/>
      <c r="D144" s="52"/>
      <c r="E144" s="54"/>
      <c r="F144" s="52"/>
      <c r="G144" s="55"/>
      <c r="H144" s="55"/>
      <c r="I144" s="56">
        <f t="shared" si="1"/>
        <v>0</v>
      </c>
      <c r="J144" s="54">
        <f t="shared" si="2"/>
        <v>0</v>
      </c>
      <c r="K144" s="54">
        <f t="shared" si="3"/>
        <v>0</v>
      </c>
      <c r="L144" s="52" t="str">
        <f t="shared" si="4"/>
        <v/>
      </c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3"/>
      <c r="B145" s="52"/>
      <c r="C145" s="52"/>
      <c r="D145" s="52"/>
      <c r="E145" s="54"/>
      <c r="F145" s="52"/>
      <c r="G145" s="55"/>
      <c r="H145" s="55"/>
      <c r="I145" s="56">
        <f t="shared" si="1"/>
        <v>0</v>
      </c>
      <c r="J145" s="54">
        <f t="shared" si="2"/>
        <v>0</v>
      </c>
      <c r="K145" s="54">
        <f t="shared" si="3"/>
        <v>0</v>
      </c>
      <c r="L145" s="52" t="str">
        <f t="shared" si="4"/>
        <v/>
      </c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3"/>
      <c r="B146" s="52"/>
      <c r="C146" s="52"/>
      <c r="D146" s="52"/>
      <c r="E146" s="54"/>
      <c r="F146" s="52"/>
      <c r="G146" s="55"/>
      <c r="H146" s="55"/>
      <c r="I146" s="56">
        <f t="shared" si="1"/>
        <v>0</v>
      </c>
      <c r="J146" s="54">
        <f t="shared" si="2"/>
        <v>0</v>
      </c>
      <c r="K146" s="54">
        <f t="shared" si="3"/>
        <v>0</v>
      </c>
      <c r="L146" s="52" t="str">
        <f t="shared" si="4"/>
        <v/>
      </c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3"/>
      <c r="B147" s="52"/>
      <c r="C147" s="52"/>
      <c r="D147" s="52"/>
      <c r="E147" s="54"/>
      <c r="F147" s="52"/>
      <c r="G147" s="55"/>
      <c r="H147" s="55"/>
      <c r="I147" s="56">
        <f t="shared" si="1"/>
        <v>0</v>
      </c>
      <c r="J147" s="54">
        <f t="shared" si="2"/>
        <v>0</v>
      </c>
      <c r="K147" s="54">
        <f t="shared" si="3"/>
        <v>0</v>
      </c>
      <c r="L147" s="52" t="str">
        <f t="shared" si="4"/>
        <v/>
      </c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3"/>
      <c r="B148" s="52"/>
      <c r="C148" s="52"/>
      <c r="D148" s="52"/>
      <c r="E148" s="54"/>
      <c r="F148" s="52"/>
      <c r="G148" s="55"/>
      <c r="H148" s="55"/>
      <c r="I148" s="56">
        <f t="shared" si="1"/>
        <v>0</v>
      </c>
      <c r="J148" s="54">
        <f t="shared" si="2"/>
        <v>0</v>
      </c>
      <c r="K148" s="54">
        <f t="shared" si="3"/>
        <v>0</v>
      </c>
      <c r="L148" s="52" t="str">
        <f t="shared" si="4"/>
        <v/>
      </c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3"/>
      <c r="B149" s="52"/>
      <c r="C149" s="52"/>
      <c r="D149" s="52"/>
      <c r="E149" s="54"/>
      <c r="F149" s="52"/>
      <c r="G149" s="55"/>
      <c r="H149" s="55"/>
      <c r="I149" s="56">
        <f t="shared" si="1"/>
        <v>0</v>
      </c>
      <c r="J149" s="54">
        <f t="shared" si="2"/>
        <v>0</v>
      </c>
      <c r="K149" s="54">
        <f t="shared" si="3"/>
        <v>0</v>
      </c>
      <c r="L149" s="52" t="str">
        <f t="shared" si="4"/>
        <v/>
      </c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3"/>
      <c r="B150" s="52"/>
      <c r="C150" s="52"/>
      <c r="D150" s="52"/>
      <c r="E150" s="54"/>
      <c r="F150" s="52"/>
      <c r="G150" s="55"/>
      <c r="H150" s="55"/>
      <c r="I150" s="56">
        <f t="shared" si="1"/>
        <v>0</v>
      </c>
      <c r="J150" s="54">
        <f t="shared" si="2"/>
        <v>0</v>
      </c>
      <c r="K150" s="54">
        <f t="shared" si="3"/>
        <v>0</v>
      </c>
      <c r="L150" s="52" t="str">
        <f t="shared" si="4"/>
        <v/>
      </c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3"/>
      <c r="B151" s="52"/>
      <c r="C151" s="52"/>
      <c r="D151" s="52"/>
      <c r="E151" s="54"/>
      <c r="F151" s="52"/>
      <c r="G151" s="55"/>
      <c r="H151" s="55"/>
      <c r="I151" s="56">
        <f t="shared" si="1"/>
        <v>0</v>
      </c>
      <c r="J151" s="54">
        <f t="shared" si="2"/>
        <v>0</v>
      </c>
      <c r="K151" s="54">
        <f t="shared" si="3"/>
        <v>0</v>
      </c>
      <c r="L151" s="52" t="str">
        <f t="shared" si="4"/>
        <v/>
      </c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3"/>
      <c r="B152" s="52"/>
      <c r="C152" s="52"/>
      <c r="D152" s="52"/>
      <c r="E152" s="54"/>
      <c r="F152" s="52"/>
      <c r="G152" s="55"/>
      <c r="H152" s="55"/>
      <c r="I152" s="56">
        <f t="shared" si="1"/>
        <v>0</v>
      </c>
      <c r="J152" s="54">
        <f t="shared" si="2"/>
        <v>0</v>
      </c>
      <c r="K152" s="54">
        <f t="shared" si="3"/>
        <v>0</v>
      </c>
      <c r="L152" s="52" t="str">
        <f t="shared" si="4"/>
        <v/>
      </c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3"/>
      <c r="B153" s="52"/>
      <c r="C153" s="52"/>
      <c r="D153" s="52"/>
      <c r="E153" s="54"/>
      <c r="F153" s="52"/>
      <c r="G153" s="55"/>
      <c r="H153" s="55"/>
      <c r="I153" s="56">
        <f t="shared" si="1"/>
        <v>0</v>
      </c>
      <c r="J153" s="54">
        <f t="shared" si="2"/>
        <v>0</v>
      </c>
      <c r="K153" s="54">
        <f t="shared" si="3"/>
        <v>0</v>
      </c>
      <c r="L153" s="52" t="str">
        <f t="shared" si="4"/>
        <v/>
      </c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3"/>
      <c r="B154" s="52"/>
      <c r="C154" s="52"/>
      <c r="D154" s="52"/>
      <c r="E154" s="54"/>
      <c r="F154" s="52"/>
      <c r="G154" s="55"/>
      <c r="H154" s="55"/>
      <c r="I154" s="56">
        <f t="shared" si="1"/>
        <v>0</v>
      </c>
      <c r="J154" s="54">
        <f t="shared" si="2"/>
        <v>0</v>
      </c>
      <c r="K154" s="54">
        <f t="shared" si="3"/>
        <v>0</v>
      </c>
      <c r="L154" s="52" t="str">
        <f t="shared" si="4"/>
        <v/>
      </c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3"/>
      <c r="B155" s="52"/>
      <c r="C155" s="52"/>
      <c r="D155" s="52"/>
      <c r="E155" s="54"/>
      <c r="F155" s="52"/>
      <c r="G155" s="55"/>
      <c r="H155" s="55"/>
      <c r="I155" s="56">
        <f t="shared" si="1"/>
        <v>0</v>
      </c>
      <c r="J155" s="54">
        <f t="shared" si="2"/>
        <v>0</v>
      </c>
      <c r="K155" s="54">
        <f t="shared" si="3"/>
        <v>0</v>
      </c>
      <c r="L155" s="52" t="str">
        <f t="shared" si="4"/>
        <v/>
      </c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3"/>
      <c r="B156" s="52"/>
      <c r="C156" s="52"/>
      <c r="D156" s="52"/>
      <c r="E156" s="54"/>
      <c r="F156" s="52"/>
      <c r="G156" s="55"/>
      <c r="H156" s="55"/>
      <c r="I156" s="56">
        <f t="shared" si="1"/>
        <v>0</v>
      </c>
      <c r="J156" s="54">
        <f t="shared" si="2"/>
        <v>0</v>
      </c>
      <c r="K156" s="54">
        <f t="shared" si="3"/>
        <v>0</v>
      </c>
      <c r="L156" s="52" t="str">
        <f t="shared" si="4"/>
        <v/>
      </c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3"/>
      <c r="B157" s="52"/>
      <c r="C157" s="52"/>
      <c r="D157" s="52"/>
      <c r="E157" s="54"/>
      <c r="F157" s="52"/>
      <c r="G157" s="55"/>
      <c r="H157" s="55"/>
      <c r="I157" s="56">
        <f t="shared" si="1"/>
        <v>0</v>
      </c>
      <c r="J157" s="54">
        <f t="shared" si="2"/>
        <v>0</v>
      </c>
      <c r="K157" s="54">
        <f t="shared" si="3"/>
        <v>0</v>
      </c>
      <c r="L157" s="52" t="str">
        <f t="shared" si="4"/>
        <v/>
      </c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3"/>
      <c r="B158" s="52"/>
      <c r="C158" s="52"/>
      <c r="D158" s="52"/>
      <c r="E158" s="54"/>
      <c r="F158" s="52"/>
      <c r="G158" s="55"/>
      <c r="H158" s="55"/>
      <c r="I158" s="56">
        <f t="shared" si="1"/>
        <v>0</v>
      </c>
      <c r="J158" s="54">
        <f t="shared" si="2"/>
        <v>0</v>
      </c>
      <c r="K158" s="54">
        <f t="shared" si="3"/>
        <v>0</v>
      </c>
      <c r="L158" s="52" t="str">
        <f t="shared" si="4"/>
        <v/>
      </c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3"/>
      <c r="B159" s="52"/>
      <c r="C159" s="52"/>
      <c r="D159" s="52"/>
      <c r="E159" s="54"/>
      <c r="F159" s="52"/>
      <c r="G159" s="55"/>
      <c r="H159" s="55"/>
      <c r="I159" s="56">
        <f t="shared" si="1"/>
        <v>0</v>
      </c>
      <c r="J159" s="54">
        <f t="shared" si="2"/>
        <v>0</v>
      </c>
      <c r="K159" s="54">
        <f t="shared" si="3"/>
        <v>0</v>
      </c>
      <c r="L159" s="52" t="str">
        <f t="shared" si="4"/>
        <v/>
      </c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3"/>
      <c r="B160" s="52"/>
      <c r="C160" s="52"/>
      <c r="D160" s="52"/>
      <c r="E160" s="54"/>
      <c r="F160" s="52"/>
      <c r="G160" s="55"/>
      <c r="H160" s="55"/>
      <c r="I160" s="56">
        <f t="shared" si="1"/>
        <v>0</v>
      </c>
      <c r="J160" s="54">
        <f t="shared" si="2"/>
        <v>0</v>
      </c>
      <c r="K160" s="54">
        <f t="shared" si="3"/>
        <v>0</v>
      </c>
      <c r="L160" s="52" t="str">
        <f t="shared" si="4"/>
        <v/>
      </c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3"/>
      <c r="B161" s="52"/>
      <c r="C161" s="52"/>
      <c r="D161" s="52"/>
      <c r="E161" s="54"/>
      <c r="F161" s="52"/>
      <c r="G161" s="55"/>
      <c r="H161" s="55"/>
      <c r="I161" s="56">
        <f t="shared" si="1"/>
        <v>0</v>
      </c>
      <c r="J161" s="54">
        <f t="shared" si="2"/>
        <v>0</v>
      </c>
      <c r="K161" s="54">
        <f t="shared" si="3"/>
        <v>0</v>
      </c>
      <c r="L161" s="52" t="str">
        <f t="shared" si="4"/>
        <v/>
      </c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3"/>
      <c r="B162" s="52"/>
      <c r="C162" s="52"/>
      <c r="D162" s="52"/>
      <c r="E162" s="54"/>
      <c r="F162" s="52"/>
      <c r="G162" s="55"/>
      <c r="H162" s="55"/>
      <c r="I162" s="56">
        <f t="shared" si="1"/>
        <v>0</v>
      </c>
      <c r="J162" s="54">
        <f t="shared" si="2"/>
        <v>0</v>
      </c>
      <c r="K162" s="54">
        <f t="shared" si="3"/>
        <v>0</v>
      </c>
      <c r="L162" s="52" t="str">
        <f t="shared" si="4"/>
        <v/>
      </c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3"/>
      <c r="B163" s="52"/>
      <c r="C163" s="52"/>
      <c r="D163" s="52"/>
      <c r="E163" s="54"/>
      <c r="F163" s="52"/>
      <c r="G163" s="55"/>
      <c r="H163" s="55"/>
      <c r="I163" s="56">
        <f t="shared" si="1"/>
        <v>0</v>
      </c>
      <c r="J163" s="54">
        <f t="shared" si="2"/>
        <v>0</v>
      </c>
      <c r="K163" s="54">
        <f t="shared" si="3"/>
        <v>0</v>
      </c>
      <c r="L163" s="52" t="str">
        <f t="shared" si="4"/>
        <v/>
      </c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3"/>
      <c r="B164" s="52"/>
      <c r="C164" s="52"/>
      <c r="D164" s="52"/>
      <c r="E164" s="54"/>
      <c r="F164" s="52"/>
      <c r="G164" s="55"/>
      <c r="H164" s="55"/>
      <c r="I164" s="56">
        <f t="shared" si="1"/>
        <v>0</v>
      </c>
      <c r="J164" s="54">
        <f t="shared" si="2"/>
        <v>0</v>
      </c>
      <c r="K164" s="54">
        <f t="shared" si="3"/>
        <v>0</v>
      </c>
      <c r="L164" s="52" t="str">
        <f t="shared" si="4"/>
        <v/>
      </c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3"/>
      <c r="B165" s="52"/>
      <c r="C165" s="52"/>
      <c r="D165" s="52"/>
      <c r="E165" s="54"/>
      <c r="F165" s="52"/>
      <c r="G165" s="55"/>
      <c r="H165" s="55"/>
      <c r="I165" s="56">
        <f t="shared" si="1"/>
        <v>0</v>
      </c>
      <c r="J165" s="54">
        <f t="shared" si="2"/>
        <v>0</v>
      </c>
      <c r="K165" s="54">
        <f t="shared" si="3"/>
        <v>0</v>
      </c>
      <c r="L165" s="52" t="str">
        <f t="shared" si="4"/>
        <v/>
      </c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3"/>
      <c r="B166" s="52"/>
      <c r="C166" s="52"/>
      <c r="D166" s="52"/>
      <c r="E166" s="54"/>
      <c r="F166" s="52"/>
      <c r="G166" s="55"/>
      <c r="H166" s="55"/>
      <c r="I166" s="56">
        <f t="shared" si="1"/>
        <v>0</v>
      </c>
      <c r="J166" s="54">
        <f t="shared" si="2"/>
        <v>0</v>
      </c>
      <c r="K166" s="54">
        <f t="shared" si="3"/>
        <v>0</v>
      </c>
      <c r="L166" s="52" t="str">
        <f t="shared" si="4"/>
        <v/>
      </c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3"/>
      <c r="B167" s="52"/>
      <c r="C167" s="52"/>
      <c r="D167" s="52"/>
      <c r="E167" s="54"/>
      <c r="F167" s="52"/>
      <c r="G167" s="55"/>
      <c r="H167" s="55"/>
      <c r="I167" s="56">
        <f t="shared" si="1"/>
        <v>0</v>
      </c>
      <c r="J167" s="54">
        <f t="shared" si="2"/>
        <v>0</v>
      </c>
      <c r="K167" s="54">
        <f t="shared" si="3"/>
        <v>0</v>
      </c>
      <c r="L167" s="52" t="str">
        <f t="shared" si="4"/>
        <v/>
      </c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3"/>
      <c r="B168" s="52"/>
      <c r="C168" s="52"/>
      <c r="D168" s="52"/>
      <c r="E168" s="54"/>
      <c r="F168" s="52"/>
      <c r="G168" s="55"/>
      <c r="H168" s="55"/>
      <c r="I168" s="56">
        <f t="shared" si="1"/>
        <v>0</v>
      </c>
      <c r="J168" s="54">
        <f t="shared" si="2"/>
        <v>0</v>
      </c>
      <c r="K168" s="54">
        <f t="shared" si="3"/>
        <v>0</v>
      </c>
      <c r="L168" s="52" t="str">
        <f t="shared" si="4"/>
        <v/>
      </c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3"/>
      <c r="B169" s="52"/>
      <c r="C169" s="52"/>
      <c r="D169" s="52"/>
      <c r="E169" s="54"/>
      <c r="F169" s="52"/>
      <c r="G169" s="55"/>
      <c r="H169" s="55"/>
      <c r="I169" s="56">
        <f t="shared" si="1"/>
        <v>0</v>
      </c>
      <c r="J169" s="54">
        <f t="shared" si="2"/>
        <v>0</v>
      </c>
      <c r="K169" s="54">
        <f t="shared" si="3"/>
        <v>0</v>
      </c>
      <c r="L169" s="52" t="str">
        <f t="shared" si="4"/>
        <v/>
      </c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3"/>
      <c r="B170" s="52"/>
      <c r="C170" s="52"/>
      <c r="D170" s="52"/>
      <c r="E170" s="54"/>
      <c r="F170" s="52"/>
      <c r="G170" s="55"/>
      <c r="H170" s="55"/>
      <c r="I170" s="56">
        <f t="shared" si="1"/>
        <v>0</v>
      </c>
      <c r="J170" s="54">
        <f t="shared" si="2"/>
        <v>0</v>
      </c>
      <c r="K170" s="54">
        <f t="shared" si="3"/>
        <v>0</v>
      </c>
      <c r="L170" s="52" t="str">
        <f t="shared" si="4"/>
        <v/>
      </c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3"/>
      <c r="B171" s="52"/>
      <c r="C171" s="52"/>
      <c r="D171" s="52"/>
      <c r="E171" s="54"/>
      <c r="F171" s="52"/>
      <c r="G171" s="55"/>
      <c r="H171" s="55"/>
      <c r="I171" s="56">
        <f t="shared" si="1"/>
        <v>0</v>
      </c>
      <c r="J171" s="54">
        <f t="shared" si="2"/>
        <v>0</v>
      </c>
      <c r="K171" s="54">
        <f t="shared" si="3"/>
        <v>0</v>
      </c>
      <c r="L171" s="52" t="str">
        <f t="shared" si="4"/>
        <v/>
      </c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3"/>
      <c r="B172" s="52"/>
      <c r="C172" s="52"/>
      <c r="D172" s="52"/>
      <c r="E172" s="54"/>
      <c r="F172" s="52"/>
      <c r="G172" s="55"/>
      <c r="H172" s="55"/>
      <c r="I172" s="56">
        <f t="shared" si="1"/>
        <v>0</v>
      </c>
      <c r="J172" s="54">
        <f t="shared" si="2"/>
        <v>0</v>
      </c>
      <c r="K172" s="54">
        <f t="shared" si="3"/>
        <v>0</v>
      </c>
      <c r="L172" s="52" t="str">
        <f t="shared" si="4"/>
        <v/>
      </c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3"/>
      <c r="B173" s="52"/>
      <c r="C173" s="52"/>
      <c r="D173" s="52"/>
      <c r="E173" s="54"/>
      <c r="F173" s="52"/>
      <c r="G173" s="55"/>
      <c r="H173" s="55"/>
      <c r="I173" s="56">
        <f t="shared" si="1"/>
        <v>0</v>
      </c>
      <c r="J173" s="54">
        <f t="shared" si="2"/>
        <v>0</v>
      </c>
      <c r="K173" s="54">
        <f t="shared" si="3"/>
        <v>0</v>
      </c>
      <c r="L173" s="52" t="str">
        <f t="shared" si="4"/>
        <v/>
      </c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3"/>
      <c r="B174" s="52"/>
      <c r="C174" s="52"/>
      <c r="D174" s="52"/>
      <c r="E174" s="54"/>
      <c r="F174" s="52"/>
      <c r="G174" s="55"/>
      <c r="H174" s="55"/>
      <c r="I174" s="56">
        <f t="shared" si="1"/>
        <v>0</v>
      </c>
      <c r="J174" s="54">
        <f t="shared" si="2"/>
        <v>0</v>
      </c>
      <c r="K174" s="54">
        <f t="shared" si="3"/>
        <v>0</v>
      </c>
      <c r="L174" s="52" t="str">
        <f t="shared" si="4"/>
        <v/>
      </c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3"/>
      <c r="B175" s="52"/>
      <c r="C175" s="52"/>
      <c r="D175" s="52"/>
      <c r="E175" s="54"/>
      <c r="F175" s="52"/>
      <c r="G175" s="55"/>
      <c r="H175" s="55"/>
      <c r="I175" s="56">
        <f t="shared" si="1"/>
        <v>0</v>
      </c>
      <c r="J175" s="54">
        <f t="shared" si="2"/>
        <v>0</v>
      </c>
      <c r="K175" s="54">
        <f t="shared" si="3"/>
        <v>0</v>
      </c>
      <c r="L175" s="52" t="str">
        <f t="shared" si="4"/>
        <v/>
      </c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3"/>
      <c r="B176" s="52"/>
      <c r="C176" s="52"/>
      <c r="D176" s="52"/>
      <c r="E176" s="54"/>
      <c r="F176" s="52"/>
      <c r="G176" s="55"/>
      <c r="H176" s="55"/>
      <c r="I176" s="56">
        <f t="shared" si="1"/>
        <v>0</v>
      </c>
      <c r="J176" s="54">
        <f t="shared" si="2"/>
        <v>0</v>
      </c>
      <c r="K176" s="54">
        <f t="shared" si="3"/>
        <v>0</v>
      </c>
      <c r="L176" s="52" t="str">
        <f t="shared" si="4"/>
        <v/>
      </c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3"/>
      <c r="B177" s="52"/>
      <c r="C177" s="52"/>
      <c r="D177" s="52"/>
      <c r="E177" s="54"/>
      <c r="F177" s="52"/>
      <c r="G177" s="55"/>
      <c r="H177" s="55"/>
      <c r="I177" s="56">
        <f t="shared" si="1"/>
        <v>0</v>
      </c>
      <c r="J177" s="54">
        <f t="shared" si="2"/>
        <v>0</v>
      </c>
      <c r="K177" s="54">
        <f t="shared" si="3"/>
        <v>0</v>
      </c>
      <c r="L177" s="52" t="str">
        <f t="shared" si="4"/>
        <v/>
      </c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3"/>
      <c r="B178" s="52"/>
      <c r="C178" s="52"/>
      <c r="D178" s="52"/>
      <c r="E178" s="54"/>
      <c r="F178" s="52"/>
      <c r="G178" s="55"/>
      <c r="H178" s="55"/>
      <c r="I178" s="56">
        <f t="shared" si="1"/>
        <v>0</v>
      </c>
      <c r="J178" s="54">
        <f t="shared" si="2"/>
        <v>0</v>
      </c>
      <c r="K178" s="54">
        <f t="shared" si="3"/>
        <v>0</v>
      </c>
      <c r="L178" s="52" t="str">
        <f t="shared" si="4"/>
        <v/>
      </c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3"/>
      <c r="B179" s="52"/>
      <c r="C179" s="52"/>
      <c r="D179" s="52"/>
      <c r="E179" s="54"/>
      <c r="F179" s="52"/>
      <c r="G179" s="55"/>
      <c r="H179" s="55"/>
      <c r="I179" s="56">
        <f t="shared" si="1"/>
        <v>0</v>
      </c>
      <c r="J179" s="54">
        <f t="shared" si="2"/>
        <v>0</v>
      </c>
      <c r="K179" s="54">
        <f t="shared" si="3"/>
        <v>0</v>
      </c>
      <c r="L179" s="52" t="str">
        <f t="shared" si="4"/>
        <v/>
      </c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3"/>
      <c r="B180" s="52"/>
      <c r="C180" s="52"/>
      <c r="D180" s="52"/>
      <c r="E180" s="54"/>
      <c r="F180" s="52"/>
      <c r="G180" s="55"/>
      <c r="H180" s="55"/>
      <c r="I180" s="56">
        <f t="shared" si="1"/>
        <v>0</v>
      </c>
      <c r="J180" s="54">
        <f t="shared" si="2"/>
        <v>0</v>
      </c>
      <c r="K180" s="54">
        <f t="shared" si="3"/>
        <v>0</v>
      </c>
      <c r="L180" s="52" t="str">
        <f t="shared" si="4"/>
        <v/>
      </c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3"/>
      <c r="B181" s="52"/>
      <c r="C181" s="52"/>
      <c r="D181" s="52"/>
      <c r="E181" s="54"/>
      <c r="F181" s="52"/>
      <c r="G181" s="55"/>
      <c r="H181" s="55"/>
      <c r="I181" s="56">
        <f t="shared" si="1"/>
        <v>0</v>
      </c>
      <c r="J181" s="54">
        <f t="shared" si="2"/>
        <v>0</v>
      </c>
      <c r="K181" s="54">
        <f t="shared" si="3"/>
        <v>0</v>
      </c>
      <c r="L181" s="52" t="str">
        <f t="shared" si="4"/>
        <v/>
      </c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3"/>
      <c r="B182" s="52"/>
      <c r="C182" s="52"/>
      <c r="D182" s="52"/>
      <c r="E182" s="54"/>
      <c r="F182" s="52"/>
      <c r="G182" s="55"/>
      <c r="H182" s="55"/>
      <c r="I182" s="56">
        <f t="shared" si="1"/>
        <v>0</v>
      </c>
      <c r="J182" s="54">
        <f t="shared" si="2"/>
        <v>0</v>
      </c>
      <c r="K182" s="54">
        <f t="shared" si="3"/>
        <v>0</v>
      </c>
      <c r="L182" s="52" t="str">
        <f t="shared" si="4"/>
        <v/>
      </c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3"/>
      <c r="B183" s="52"/>
      <c r="C183" s="52"/>
      <c r="D183" s="52"/>
      <c r="E183" s="54"/>
      <c r="F183" s="52"/>
      <c r="G183" s="55"/>
      <c r="H183" s="55"/>
      <c r="I183" s="56">
        <f t="shared" si="1"/>
        <v>0</v>
      </c>
      <c r="J183" s="54">
        <f t="shared" si="2"/>
        <v>0</v>
      </c>
      <c r="K183" s="54">
        <f t="shared" si="3"/>
        <v>0</v>
      </c>
      <c r="L183" s="52" t="str">
        <f t="shared" si="4"/>
        <v/>
      </c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3"/>
      <c r="B184" s="52"/>
      <c r="C184" s="52"/>
      <c r="D184" s="52"/>
      <c r="E184" s="54"/>
      <c r="F184" s="52"/>
      <c r="G184" s="55"/>
      <c r="H184" s="55"/>
      <c r="I184" s="56">
        <f t="shared" si="1"/>
        <v>0</v>
      </c>
      <c r="J184" s="54">
        <f t="shared" si="2"/>
        <v>0</v>
      </c>
      <c r="K184" s="54">
        <f t="shared" si="3"/>
        <v>0</v>
      </c>
      <c r="L184" s="52" t="str">
        <f t="shared" si="4"/>
        <v/>
      </c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3"/>
      <c r="B185" s="52"/>
      <c r="C185" s="52"/>
      <c r="D185" s="52"/>
      <c r="E185" s="54"/>
      <c r="F185" s="52"/>
      <c r="G185" s="55"/>
      <c r="H185" s="55"/>
      <c r="I185" s="56">
        <f t="shared" si="1"/>
        <v>0</v>
      </c>
      <c r="J185" s="54">
        <f t="shared" si="2"/>
        <v>0</v>
      </c>
      <c r="K185" s="54">
        <f t="shared" si="3"/>
        <v>0</v>
      </c>
      <c r="L185" s="52" t="str">
        <f t="shared" si="4"/>
        <v/>
      </c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3"/>
      <c r="B186" s="52"/>
      <c r="C186" s="52"/>
      <c r="D186" s="52"/>
      <c r="E186" s="54"/>
      <c r="F186" s="52"/>
      <c r="G186" s="55"/>
      <c r="H186" s="55"/>
      <c r="I186" s="56">
        <f t="shared" si="1"/>
        <v>0</v>
      </c>
      <c r="J186" s="54">
        <f t="shared" si="2"/>
        <v>0</v>
      </c>
      <c r="K186" s="54">
        <f t="shared" si="3"/>
        <v>0</v>
      </c>
      <c r="L186" s="52" t="str">
        <f t="shared" si="4"/>
        <v/>
      </c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3"/>
      <c r="B187" s="52"/>
      <c r="C187" s="52"/>
      <c r="D187" s="52"/>
      <c r="E187" s="54"/>
      <c r="F187" s="52"/>
      <c r="G187" s="55"/>
      <c r="H187" s="55"/>
      <c r="I187" s="56">
        <f t="shared" si="1"/>
        <v>0</v>
      </c>
      <c r="J187" s="54">
        <f t="shared" si="2"/>
        <v>0</v>
      </c>
      <c r="K187" s="54">
        <f t="shared" si="3"/>
        <v>0</v>
      </c>
      <c r="L187" s="52" t="str">
        <f t="shared" si="4"/>
        <v/>
      </c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3"/>
      <c r="B188" s="52"/>
      <c r="C188" s="52"/>
      <c r="D188" s="52"/>
      <c r="E188" s="54"/>
      <c r="F188" s="52"/>
      <c r="G188" s="55"/>
      <c r="H188" s="55"/>
      <c r="I188" s="56">
        <f t="shared" si="1"/>
        <v>0</v>
      </c>
      <c r="J188" s="54">
        <f t="shared" si="2"/>
        <v>0</v>
      </c>
      <c r="K188" s="54">
        <f t="shared" si="3"/>
        <v>0</v>
      </c>
      <c r="L188" s="52" t="str">
        <f t="shared" si="4"/>
        <v/>
      </c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3"/>
      <c r="B189" s="52"/>
      <c r="C189" s="52"/>
      <c r="D189" s="52"/>
      <c r="E189" s="54"/>
      <c r="F189" s="52"/>
      <c r="G189" s="55"/>
      <c r="H189" s="55"/>
      <c r="I189" s="56">
        <f t="shared" si="1"/>
        <v>0</v>
      </c>
      <c r="J189" s="54">
        <f t="shared" si="2"/>
        <v>0</v>
      </c>
      <c r="K189" s="54">
        <f t="shared" si="3"/>
        <v>0</v>
      </c>
      <c r="L189" s="52" t="str">
        <f t="shared" si="4"/>
        <v/>
      </c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3"/>
      <c r="B190" s="52"/>
      <c r="C190" s="52"/>
      <c r="D190" s="52"/>
      <c r="E190" s="54"/>
      <c r="F190" s="52"/>
      <c r="G190" s="55"/>
      <c r="H190" s="55"/>
      <c r="I190" s="56">
        <f t="shared" si="1"/>
        <v>0</v>
      </c>
      <c r="J190" s="54">
        <f t="shared" si="2"/>
        <v>0</v>
      </c>
      <c r="K190" s="54">
        <f t="shared" si="3"/>
        <v>0</v>
      </c>
      <c r="L190" s="52" t="str">
        <f t="shared" si="4"/>
        <v/>
      </c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3"/>
      <c r="B191" s="52"/>
      <c r="C191" s="52"/>
      <c r="D191" s="52"/>
      <c r="E191" s="54"/>
      <c r="F191" s="52"/>
      <c r="G191" s="55"/>
      <c r="H191" s="55"/>
      <c r="I191" s="56">
        <f t="shared" si="1"/>
        <v>0</v>
      </c>
      <c r="J191" s="54">
        <f t="shared" si="2"/>
        <v>0</v>
      </c>
      <c r="K191" s="54">
        <f t="shared" si="3"/>
        <v>0</v>
      </c>
      <c r="L191" s="52" t="str">
        <f t="shared" si="4"/>
        <v/>
      </c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3"/>
      <c r="B192" s="52"/>
      <c r="C192" s="52"/>
      <c r="D192" s="52"/>
      <c r="E192" s="54"/>
      <c r="F192" s="52"/>
      <c r="G192" s="55"/>
      <c r="H192" s="55"/>
      <c r="I192" s="56">
        <f t="shared" si="1"/>
        <v>0</v>
      </c>
      <c r="J192" s="54">
        <f t="shared" si="2"/>
        <v>0</v>
      </c>
      <c r="K192" s="54">
        <f t="shared" si="3"/>
        <v>0</v>
      </c>
      <c r="L192" s="52" t="str">
        <f t="shared" si="4"/>
        <v/>
      </c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3"/>
      <c r="B193" s="52"/>
      <c r="C193" s="52"/>
      <c r="D193" s="52"/>
      <c r="E193" s="54"/>
      <c r="F193" s="52"/>
      <c r="G193" s="55"/>
      <c r="H193" s="55"/>
      <c r="I193" s="56">
        <f t="shared" si="1"/>
        <v>0</v>
      </c>
      <c r="J193" s="54">
        <f t="shared" si="2"/>
        <v>0</v>
      </c>
      <c r="K193" s="54">
        <f t="shared" si="3"/>
        <v>0</v>
      </c>
      <c r="L193" s="52" t="str">
        <f t="shared" si="4"/>
        <v/>
      </c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3"/>
      <c r="B194" s="52"/>
      <c r="C194" s="52"/>
      <c r="D194" s="52"/>
      <c r="E194" s="54"/>
      <c r="F194" s="52"/>
      <c r="G194" s="55"/>
      <c r="H194" s="55"/>
      <c r="I194" s="56">
        <f t="shared" si="1"/>
        <v>0</v>
      </c>
      <c r="J194" s="54">
        <f t="shared" si="2"/>
        <v>0</v>
      </c>
      <c r="K194" s="54">
        <f t="shared" si="3"/>
        <v>0</v>
      </c>
      <c r="L194" s="52" t="str">
        <f t="shared" si="4"/>
        <v/>
      </c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3"/>
      <c r="B195" s="52"/>
      <c r="C195" s="52"/>
      <c r="D195" s="52"/>
      <c r="E195" s="54"/>
      <c r="F195" s="52"/>
      <c r="G195" s="55"/>
      <c r="H195" s="55"/>
      <c r="I195" s="56">
        <f t="shared" si="1"/>
        <v>0</v>
      </c>
      <c r="J195" s="54">
        <f t="shared" si="2"/>
        <v>0</v>
      </c>
      <c r="K195" s="54">
        <f t="shared" si="3"/>
        <v>0</v>
      </c>
      <c r="L195" s="52" t="str">
        <f t="shared" si="4"/>
        <v/>
      </c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3"/>
      <c r="B196" s="52"/>
      <c r="C196" s="52"/>
      <c r="D196" s="52"/>
      <c r="E196" s="54"/>
      <c r="F196" s="52"/>
      <c r="G196" s="55"/>
      <c r="H196" s="55"/>
      <c r="I196" s="56">
        <f t="shared" si="1"/>
        <v>0</v>
      </c>
      <c r="J196" s="54">
        <f t="shared" si="2"/>
        <v>0</v>
      </c>
      <c r="K196" s="54">
        <f t="shared" si="3"/>
        <v>0</v>
      </c>
      <c r="L196" s="52" t="str">
        <f t="shared" si="4"/>
        <v/>
      </c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3"/>
      <c r="B197" s="52"/>
      <c r="C197" s="52"/>
      <c r="D197" s="52"/>
      <c r="E197" s="54"/>
      <c r="F197" s="52"/>
      <c r="G197" s="55"/>
      <c r="H197" s="55"/>
      <c r="I197" s="56">
        <f t="shared" si="1"/>
        <v>0</v>
      </c>
      <c r="J197" s="54">
        <f t="shared" si="2"/>
        <v>0</v>
      </c>
      <c r="K197" s="54">
        <f t="shared" si="3"/>
        <v>0</v>
      </c>
      <c r="L197" s="52" t="str">
        <f t="shared" si="4"/>
        <v/>
      </c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3"/>
      <c r="B198" s="52"/>
      <c r="C198" s="52"/>
      <c r="D198" s="52"/>
      <c r="E198" s="54"/>
      <c r="F198" s="52"/>
      <c r="G198" s="55"/>
      <c r="H198" s="55"/>
      <c r="I198" s="56">
        <f t="shared" si="1"/>
        <v>0</v>
      </c>
      <c r="J198" s="54">
        <f t="shared" si="2"/>
        <v>0</v>
      </c>
      <c r="K198" s="54">
        <f t="shared" si="3"/>
        <v>0</v>
      </c>
      <c r="L198" s="52" t="str">
        <f t="shared" si="4"/>
        <v/>
      </c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3"/>
      <c r="B199" s="52"/>
      <c r="C199" s="52"/>
      <c r="D199" s="52"/>
      <c r="E199" s="54"/>
      <c r="F199" s="52"/>
      <c r="G199" s="55"/>
      <c r="H199" s="55"/>
      <c r="I199" s="56">
        <f t="shared" si="1"/>
        <v>0</v>
      </c>
      <c r="J199" s="54">
        <f t="shared" si="2"/>
        <v>0</v>
      </c>
      <c r="K199" s="54">
        <f t="shared" si="3"/>
        <v>0</v>
      </c>
      <c r="L199" s="52" t="str">
        <f t="shared" si="4"/>
        <v/>
      </c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3"/>
      <c r="B200" s="52"/>
      <c r="C200" s="52"/>
      <c r="D200" s="52"/>
      <c r="E200" s="54"/>
      <c r="F200" s="52"/>
      <c r="G200" s="55"/>
      <c r="H200" s="55"/>
      <c r="I200" s="56">
        <f t="shared" si="1"/>
        <v>0</v>
      </c>
      <c r="J200" s="54">
        <f t="shared" si="2"/>
        <v>0</v>
      </c>
      <c r="K200" s="54">
        <f t="shared" si="3"/>
        <v>0</v>
      </c>
      <c r="L200" s="52" t="str">
        <f t="shared" si="4"/>
        <v/>
      </c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200">
      <formula1>"BLE Scanner,Secure Vault"</formula1>
    </dataValidation>
    <dataValidation type="list" allowBlank="1" sqref="D2:D200">
      <formula1>"A,B,C"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11.63"/>
    <col customWidth="1" min="3" max="3" width="10.13"/>
    <col customWidth="1" min="4" max="8" width="18.0"/>
    <col customWidth="1" min="9" max="26" width="8.5"/>
  </cols>
  <sheetData>
    <row r="1">
      <c r="A1" s="57" t="s">
        <v>831</v>
      </c>
      <c r="B1" s="2"/>
      <c r="C1" s="2"/>
      <c r="D1" s="2"/>
      <c r="E1" s="2"/>
      <c r="F1" s="2"/>
      <c r="G1" s="2"/>
      <c r="H1" s="3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8" t="s">
        <v>832</v>
      </c>
      <c r="B3" s="59">
        <f>SUM(AB_TEST!G2:G200)</f>
        <v>11100</v>
      </c>
      <c r="C3" s="52"/>
      <c r="D3" s="60" t="s">
        <v>13</v>
      </c>
      <c r="E3" s="60"/>
      <c r="F3" s="60"/>
      <c r="G3" s="60"/>
      <c r="H3" s="60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8" t="s">
        <v>833</v>
      </c>
      <c r="B4" s="59">
        <f>SUM(AB_TEST!H2:H200)</f>
        <v>519</v>
      </c>
      <c r="C4" s="52"/>
      <c r="D4" s="61" t="s">
        <v>834</v>
      </c>
      <c r="E4" s="61"/>
      <c r="F4" s="61"/>
      <c r="G4" s="61"/>
      <c r="H4" s="61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8" t="s">
        <v>835</v>
      </c>
      <c r="B5" s="59">
        <f>SUM(AB_TEST!J2:J200)</f>
        <v>17327.8</v>
      </c>
      <c r="C5" s="52"/>
      <c r="D5" s="61" t="s">
        <v>836</v>
      </c>
      <c r="E5" s="61"/>
      <c r="F5" s="61"/>
      <c r="G5" s="61"/>
      <c r="H5" s="61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8" t="s">
        <v>837</v>
      </c>
      <c r="B6" s="62">
        <f>IFERROR(SUM(AB_TEST!H2:H200)/SUM(AB_TEST!G2:G200),0)</f>
        <v>0.04675675676</v>
      </c>
      <c r="C6" s="52"/>
      <c r="D6" s="61" t="s">
        <v>838</v>
      </c>
      <c r="E6" s="61"/>
      <c r="F6" s="61"/>
      <c r="G6" s="61"/>
      <c r="H6" s="61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8" t="s">
        <v>839</v>
      </c>
      <c r="B7" s="63">
        <f>IFERROR(SUM(AB_TEST!J2:J200)/SUM(AB_TEST!G2:G200),0)</f>
        <v>1.561063063</v>
      </c>
      <c r="C7" s="52"/>
      <c r="D7" s="61" t="s">
        <v>840</v>
      </c>
      <c r="E7" s="61"/>
      <c r="F7" s="61"/>
      <c r="G7" s="61"/>
      <c r="H7" s="61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8" t="s">
        <v>841</v>
      </c>
      <c r="B8" s="64" t="str">
        <f t="array" ref="B8">INDEX(A13:A14,MATCH(MAX(E13:E14),E13:E14,0))</f>
        <v>B</v>
      </c>
      <c r="C8" s="52"/>
      <c r="D8" s="61" t="s">
        <v>842</v>
      </c>
      <c r="E8" s="61"/>
      <c r="F8" s="61"/>
      <c r="G8" s="61"/>
      <c r="H8" s="61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65" t="s">
        <v>843</v>
      </c>
      <c r="B10" s="2"/>
      <c r="C10" s="2"/>
      <c r="D10" s="2"/>
      <c r="E10" s="2"/>
      <c r="F10" s="2"/>
      <c r="G10" s="2"/>
      <c r="H10" s="3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1" t="s">
        <v>821</v>
      </c>
      <c r="B12" s="51" t="s">
        <v>823</v>
      </c>
      <c r="C12" s="51" t="s">
        <v>824</v>
      </c>
      <c r="D12" s="51" t="s">
        <v>825</v>
      </c>
      <c r="E12" s="51" t="s">
        <v>826</v>
      </c>
      <c r="F12" s="51" t="s">
        <v>827</v>
      </c>
      <c r="G12" s="51" t="s">
        <v>844</v>
      </c>
      <c r="H12" s="51" t="s">
        <v>845</v>
      </c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2" t="s">
        <v>22</v>
      </c>
      <c r="B13" s="52">
        <f>SUMIFS(AB_TEST!G2:G200,AB_TEST!D2:D200,A13)</f>
        <v>5260</v>
      </c>
      <c r="C13" s="52">
        <f>SUMIFS(AB_TEST!H2:H200,AB_TEST!D2:D200,A13)</f>
        <v>196</v>
      </c>
      <c r="D13" s="56">
        <f t="shared" ref="D13:D14" si="1">IFERROR(C13/B13,0)</f>
        <v>0.03726235741</v>
      </c>
      <c r="E13" s="54">
        <f>SUMIFS(AB_TEST!J2:J200,AB_TEST!D2:D200,A13)</f>
        <v>8282</v>
      </c>
      <c r="F13" s="54">
        <f t="shared" ref="F13:F14" si="2">IFERROR(E13/B13,0)</f>
        <v>1.574524715</v>
      </c>
      <c r="G13" s="56">
        <f t="shared" ref="G13:G14" si="3">IFERROR(E13/SUM($E$13:$E$14),0)</f>
        <v>0.4779602719</v>
      </c>
      <c r="H13" s="52" t="str">
        <f t="shared" ref="H13:H14" si="4">IF(E13=MAX($E$13:$E$14),"Winner","")</f>
        <v/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2" t="s">
        <v>26</v>
      </c>
      <c r="B14" s="52">
        <f>SUMIFS(AB_TEST!G2:G200,AB_TEST!D2:D200,A14)</f>
        <v>5840</v>
      </c>
      <c r="C14" s="52">
        <f>SUMIFS(AB_TEST!H2:H200,AB_TEST!D2:D200,A14)</f>
        <v>323</v>
      </c>
      <c r="D14" s="56">
        <f t="shared" si="1"/>
        <v>0.05530821918</v>
      </c>
      <c r="E14" s="54">
        <f>SUMIFS(AB_TEST!J2:J200,AB_TEST!D2:D200,A14)</f>
        <v>9045.8</v>
      </c>
      <c r="F14" s="54">
        <f t="shared" si="2"/>
        <v>1.548938356</v>
      </c>
      <c r="G14" s="56">
        <f t="shared" si="3"/>
        <v>0.5220397281</v>
      </c>
      <c r="H14" s="52" t="str">
        <f t="shared" si="4"/>
        <v>Winner</v>
      </c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65" t="s">
        <v>846</v>
      </c>
      <c r="B17" s="2"/>
      <c r="C17" s="2"/>
      <c r="D17" s="2"/>
      <c r="E17" s="2"/>
      <c r="F17" s="2"/>
      <c r="G17" s="2"/>
      <c r="H17" s="3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1" t="s">
        <v>820</v>
      </c>
      <c r="B19" s="51" t="s">
        <v>39</v>
      </c>
      <c r="C19" s="51" t="s">
        <v>821</v>
      </c>
      <c r="D19" s="51" t="s">
        <v>823</v>
      </c>
      <c r="E19" s="51" t="s">
        <v>824</v>
      </c>
      <c r="F19" s="51" t="s">
        <v>825</v>
      </c>
      <c r="G19" s="51" t="s">
        <v>826</v>
      </c>
      <c r="H19" s="51" t="s">
        <v>827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2" t="s">
        <v>829</v>
      </c>
      <c r="B20" s="52" t="s">
        <v>624</v>
      </c>
      <c r="C20" s="52" t="s">
        <v>22</v>
      </c>
      <c r="D20" s="55">
        <f>SUMIFS(AB_TEST!G2:G200,AB_TEST!B2:B200,A20,AB_TEST!C2:C200,B20,AB_TEST!D2:D200,C20)</f>
        <v>1200</v>
      </c>
      <c r="E20" s="55">
        <f>SUMIFS(AB_TEST!H2:H200,AB_TEST!B2:B200,A20,AB_TEST!C2:C200,B20,AB_TEST!D2:D200,C20)</f>
        <v>48</v>
      </c>
      <c r="F20" s="56">
        <f t="shared" ref="F20:F27" si="5">IFERROR(E20/D20,0)</f>
        <v>0.04</v>
      </c>
      <c r="G20" s="54">
        <f>SUMIFS(AB_TEST!J2:J200,AB_TEST!B2:B200,A20,AB_TEST!C2:C200,B20,AB_TEST!D2:D200,C20)</f>
        <v>1872</v>
      </c>
      <c r="H20" s="54">
        <f t="shared" ref="H20:H27" si="6">IFERROR(G20/D20,0)</f>
        <v>1.56</v>
      </c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2" t="s">
        <v>829</v>
      </c>
      <c r="B21" s="52" t="s">
        <v>624</v>
      </c>
      <c r="C21" s="52" t="s">
        <v>26</v>
      </c>
      <c r="D21" s="55">
        <f>SUMIFS(AB_TEST!G2:G200,AB_TEST!B2:B200,A21,AB_TEST!C2:C200,B21,AB_TEST!D2:D200,C21)</f>
        <v>1350</v>
      </c>
      <c r="E21" s="55">
        <f>SUMIFS(AB_TEST!H2:H200,AB_TEST!B2:B200,A21,AB_TEST!C2:C200,B21,AB_TEST!D2:D200,C21)</f>
        <v>78</v>
      </c>
      <c r="F21" s="56">
        <f t="shared" si="5"/>
        <v>0.05777777778</v>
      </c>
      <c r="G21" s="54">
        <f>SUMIFS(AB_TEST!J2:J200,AB_TEST!B2:B200,A21,AB_TEST!C2:C200,B21,AB_TEST!D2:D200,C21)</f>
        <v>2262</v>
      </c>
      <c r="H21" s="54">
        <f t="shared" si="6"/>
        <v>1.675555556</v>
      </c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2" t="s">
        <v>830</v>
      </c>
      <c r="B22" s="52" t="s">
        <v>624</v>
      </c>
      <c r="C22" s="52" t="s">
        <v>22</v>
      </c>
      <c r="D22" s="55">
        <f>SUMIFS(AB_TEST!G2:G200,AB_TEST!B2:B200,A22,AB_TEST!C2:C200,B22,AB_TEST!D2:D200,C22)</f>
        <v>900</v>
      </c>
      <c r="E22" s="55">
        <f>SUMIFS(AB_TEST!H2:H200,AB_TEST!B2:B200,A22,AB_TEST!C2:C200,B22,AB_TEST!D2:D200,C22)</f>
        <v>32</v>
      </c>
      <c r="F22" s="56">
        <f t="shared" si="5"/>
        <v>0.03555555556</v>
      </c>
      <c r="G22" s="54">
        <f>SUMIFS(AB_TEST!J2:J200,AB_TEST!B2:B200,A22,AB_TEST!C2:C200,B22,AB_TEST!D2:D200,C22)</f>
        <v>1568</v>
      </c>
      <c r="H22" s="54">
        <f t="shared" si="6"/>
        <v>1.742222222</v>
      </c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2" t="s">
        <v>830</v>
      </c>
      <c r="B23" s="52" t="s">
        <v>624</v>
      </c>
      <c r="C23" s="52" t="s">
        <v>26</v>
      </c>
      <c r="D23" s="55">
        <f>SUMIFS(AB_TEST!G2:G200,AB_TEST!B2:B200,A23,AB_TEST!C2:C200,B23,AB_TEST!D2:D200,C23)</f>
        <v>960</v>
      </c>
      <c r="E23" s="55">
        <f>SUMIFS(AB_TEST!H2:H200,AB_TEST!B2:B200,A23,AB_TEST!C2:C200,B23,AB_TEST!D2:D200,C23)</f>
        <v>45</v>
      </c>
      <c r="F23" s="56">
        <f t="shared" si="5"/>
        <v>0.046875</v>
      </c>
      <c r="G23" s="54">
        <f>SUMIFS(AB_TEST!J2:J200,AB_TEST!B2:B200,A23,AB_TEST!C2:C200,B23,AB_TEST!D2:D200,C23)</f>
        <v>1755</v>
      </c>
      <c r="H23" s="54">
        <f t="shared" si="6"/>
        <v>1.828125</v>
      </c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2" t="s">
        <v>829</v>
      </c>
      <c r="B24" s="52" t="s">
        <v>307</v>
      </c>
      <c r="C24" s="52" t="s">
        <v>22</v>
      </c>
      <c r="D24" s="55">
        <f>SUMIFS(AB_TEST!G2:G200,AB_TEST!B2:B200,A24,AB_TEST!C2:C200,B24,AB_TEST!D2:D200,C24)</f>
        <v>2400</v>
      </c>
      <c r="E24" s="55">
        <f>SUMIFS(AB_TEST!H2:H200,AB_TEST!B2:B200,A24,AB_TEST!C2:C200,B24,AB_TEST!D2:D200,C24)</f>
        <v>96</v>
      </c>
      <c r="F24" s="56">
        <f t="shared" si="5"/>
        <v>0.04</v>
      </c>
      <c r="G24" s="54">
        <f>SUMIFS(AB_TEST!J2:J200,AB_TEST!B2:B200,A24,AB_TEST!C2:C200,B24,AB_TEST!D2:D200,C24)</f>
        <v>4704</v>
      </c>
      <c r="H24" s="54">
        <f t="shared" si="6"/>
        <v>1.96</v>
      </c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2" t="s">
        <v>829</v>
      </c>
      <c r="B25" s="52" t="s">
        <v>307</v>
      </c>
      <c r="C25" s="52" t="s">
        <v>26</v>
      </c>
      <c r="D25" s="55">
        <f>SUMIFS(AB_TEST!G2:G200,AB_TEST!B2:B200,A25,AB_TEST!C2:C200,B25,AB_TEST!D2:D200,C25)</f>
        <v>2700</v>
      </c>
      <c r="E25" s="55">
        <f>SUMIFS(AB_TEST!H2:H200,AB_TEST!B2:B200,A25,AB_TEST!C2:C200,B25,AB_TEST!D2:D200,C25)</f>
        <v>168</v>
      </c>
      <c r="F25" s="56">
        <f t="shared" si="5"/>
        <v>0.06222222222</v>
      </c>
      <c r="G25" s="54">
        <f>SUMIFS(AB_TEST!J2:J200,AB_TEST!B2:B200,A25,AB_TEST!C2:C200,B25,AB_TEST!D2:D200,C25)</f>
        <v>4872</v>
      </c>
      <c r="H25" s="54">
        <f t="shared" si="6"/>
        <v>1.804444444</v>
      </c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2" t="s">
        <v>830</v>
      </c>
      <c r="B26" s="52" t="s">
        <v>139</v>
      </c>
      <c r="C26" s="52" t="s">
        <v>22</v>
      </c>
      <c r="D26" s="55">
        <f>SUMIFS(AB_TEST!G2:G200,AB_TEST!B2:B200,A26,AB_TEST!C2:C200,B26,AB_TEST!D2:D200,C26)</f>
        <v>760</v>
      </c>
      <c r="E26" s="55">
        <f>SUMIFS(AB_TEST!H2:H200,AB_TEST!B2:B200,A26,AB_TEST!C2:C200,B26,AB_TEST!D2:D200,C26)</f>
        <v>20</v>
      </c>
      <c r="F26" s="56">
        <f t="shared" si="5"/>
        <v>0.02631578947</v>
      </c>
      <c r="G26" s="54">
        <f>SUMIFS(AB_TEST!J2:J200,AB_TEST!B2:B200,A26,AB_TEST!C2:C200,B26,AB_TEST!D2:D200,C26)</f>
        <v>138</v>
      </c>
      <c r="H26" s="54">
        <f t="shared" si="6"/>
        <v>0.1815789474</v>
      </c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2" t="s">
        <v>830</v>
      </c>
      <c r="B27" s="52" t="s">
        <v>139</v>
      </c>
      <c r="C27" s="52" t="s">
        <v>26</v>
      </c>
      <c r="D27" s="55">
        <f>SUMIFS(AB_TEST!G2:G200,AB_TEST!B2:B200,A27,AB_TEST!C2:C200,B27,AB_TEST!D2:D200,C27)</f>
        <v>830</v>
      </c>
      <c r="E27" s="55">
        <f>SUMIFS(AB_TEST!H2:H200,AB_TEST!B2:B200,A27,AB_TEST!C2:C200,B27,AB_TEST!D2:D200,C27)</f>
        <v>32</v>
      </c>
      <c r="F27" s="56">
        <f t="shared" si="5"/>
        <v>0.03855421687</v>
      </c>
      <c r="G27" s="54">
        <f>SUMIFS(AB_TEST!J2:J200,AB_TEST!B2:B200,A27,AB_TEST!C2:C200,B27,AB_TEST!D2:D200,C27)</f>
        <v>156.8</v>
      </c>
      <c r="H27" s="54">
        <f t="shared" si="6"/>
        <v>0.1889156627</v>
      </c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10:H10"/>
    <mergeCell ref="A17:H17"/>
  </mergeCells>
  <conditionalFormatting sqref="H13:H14">
    <cfRule type="expression" dxfId="7" priority="1">
      <formula>H13="Winner"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2.0"/>
    <col customWidth="1" min="5" max="26" width="8.5"/>
  </cols>
  <sheetData>
    <row r="1">
      <c r="A1" s="57" t="s">
        <v>847</v>
      </c>
      <c r="B1" s="2"/>
      <c r="C1" s="2"/>
      <c r="D1" s="3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1" t="s">
        <v>848</v>
      </c>
      <c r="B2" s="51" t="s">
        <v>849</v>
      </c>
      <c r="C2" s="51" t="s">
        <v>850</v>
      </c>
      <c r="D2" s="51" t="s">
        <v>9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2" t="s">
        <v>820</v>
      </c>
      <c r="B3" s="52" t="s">
        <v>851</v>
      </c>
      <c r="C3" s="52" t="s">
        <v>829</v>
      </c>
      <c r="D3" s="52" t="s">
        <v>852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2" t="s">
        <v>39</v>
      </c>
      <c r="B4" s="52" t="s">
        <v>853</v>
      </c>
      <c r="C4" s="52" t="s">
        <v>624</v>
      </c>
      <c r="D4" s="52" t="s">
        <v>854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2" t="s">
        <v>821</v>
      </c>
      <c r="B5" s="52" t="s">
        <v>855</v>
      </c>
      <c r="C5" s="52" t="s">
        <v>856</v>
      </c>
      <c r="D5" s="52" t="s">
        <v>857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2" t="s">
        <v>823</v>
      </c>
      <c r="B6" s="52" t="s">
        <v>858</v>
      </c>
      <c r="C6" s="52">
        <v>1000.0</v>
      </c>
      <c r="D6" s="52" t="s">
        <v>859</v>
      </c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2" t="s">
        <v>824</v>
      </c>
      <c r="B7" s="52" t="s">
        <v>860</v>
      </c>
      <c r="C7" s="52">
        <v>50.0</v>
      </c>
      <c r="D7" s="52" t="s">
        <v>861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2" t="s">
        <v>826</v>
      </c>
      <c r="B8" s="52" t="s">
        <v>862</v>
      </c>
      <c r="C8" s="52"/>
      <c r="D8" s="52" t="s">
        <v>863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2" t="s">
        <v>825</v>
      </c>
      <c r="B9" s="52" t="s">
        <v>862</v>
      </c>
      <c r="C9" s="52"/>
      <c r="D9" s="52" t="s">
        <v>864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2" t="s">
        <v>865</v>
      </c>
      <c r="B10" s="52" t="s">
        <v>866</v>
      </c>
      <c r="C10" s="52" t="s">
        <v>826</v>
      </c>
      <c r="D10" s="52" t="s">
        <v>867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paperSize="9" orientation="portrait"/>
  <drawing r:id="rId1"/>
</worksheet>
</file>