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fec08d01a345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1af540358114edb"/>
    <x:sheet xmlns:r="http://schemas.openxmlformats.org/officeDocument/2006/relationships" name="PricingModel" sheetId="2" r:id="Rbf1c6afc261f47c5"/>
    <x:sheet xmlns:r="http://schemas.openxmlformats.org/officeDocument/2006/relationships" name="RoundingRules" sheetId="3" r:id="R5030de38f764403c"/>
    <x:sheet xmlns:r="http://schemas.openxmlformats.org/officeDocument/2006/relationships" name="SourceNotes" sheetId="4" r:id="Rdc068bb7773a47ac"/>
    <x:sheet xmlns:r="http://schemas.openxmlformats.org/officeDocument/2006/relationships" name="AB_TEST" sheetId="5" r:id="Re7856fc418794f90"/>
    <x:sheet xmlns:r="http://schemas.openxmlformats.org/officeDocument/2006/relationships" name="AB_Dashboard" sheetId="6" r:id="R2424b263faff40c0"/>
    <x:sheet xmlns:r="http://schemas.openxmlformats.org/officeDocument/2006/relationships" name="AB_Setup" sheetId="7" r:id="R0be4c738d38848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"/>
    <x:numFmt numFmtId="201" formatCode="@"/>
    <x:numFmt numFmtId="202" formatCode="yyyy-mm-dd"/>
    <x:numFmt numFmtId="203" formatCode="0"/>
    <x:numFmt numFmtId="204" formatCode="0.00%"/>
    <x:numFmt numFmtId="205" formatCode="0.0000"/>
  </x:numFmts>
  <x:fonts count="10">
    <x:font>
      <x:sz val="11"/>
      <x:name val="Carlito"/>
    </x:font>
    <x:font>
      <x:b/>
      <x:sz val="18"/>
      <x:color rgb="FFFFFF"/>
      <x:name val="Carlito"/>
    </x:font>
    <x:font>
      <x:b/>
      <x:sz val="11"/>
      <x:color rgb="FFFFFF"/>
      <x:name val="Carlito"/>
    </x:font>
    <x:font>
      <x:sz val="11"/>
      <x:color rgb="111827"/>
      <x:name val="Carlito"/>
    </x:font>
    <x:font>
      <x:b/>
      <x:sz val="11"/>
      <x:color rgb="0F172A"/>
      <x:name val="Carlito"/>
    </x:font>
    <x:font>
      <x:b/>
      <x:sz val="16"/>
      <x:color rgb="FFFFFF"/>
      <x:name val="Carlito"/>
    </x:font>
    <x:font>
      <x:sz val="10"/>
      <x:name val="Aptos"/>
    </x:font>
    <x:font>
      <x:b/>
      <x:sz val="16"/>
      <x:color rgb="FFFFFF"/>
      <x:name val="Aptos"/>
    </x:font>
    <x:font>
      <x:b/>
      <x:sz val="10"/>
      <x:color rgb="FFFFFF"/>
      <x:name val="Aptos"/>
    </x:font>
    <x:font>
      <x:b/>
      <x:sz val="10"/>
      <x:name val="Aptos"/>
    </x:font>
  </x:fonts>
  <x:fills count="13">
    <x:fill>
      <x:patternFill patternType="none"/>
    </x:fill>
    <x:fill>
      <x:patternFill patternType="gray125"/>
    </x:fill>
    <x:fill>
      <x:patternFill patternType="solid">
        <x:fgColor rgb="0F172A"/>
      </x:patternFill>
    </x:fill>
    <x:fill>
      <x:patternFill patternType="solid">
        <x:fgColor rgb="1E293B"/>
      </x:patternFill>
    </x:fill>
    <x:fill>
      <x:patternFill patternType="solid">
        <x:fgColor rgb="FEF3C7"/>
      </x:patternFill>
    </x:fill>
    <x:fill>
      <x:patternFill patternType="solid">
        <x:fgColor rgb="CCFBF1"/>
      </x:patternFill>
    </x:fill>
    <x:fill>
      <x:patternFill patternType="solid">
        <x:fgColor rgb="0F766E"/>
      </x:patternFill>
    </x:fill>
    <x:fill>
      <x:patternFill patternType="solid">
        <x:fgColor rgb="F8FAFC"/>
      </x:patternFill>
    </x:fill>
    <x:fill>
      <x:patternFill patternType="solid">
        <x:fgColor rgb="0F172A"/>
      </x:patternFill>
    </x:fill>
    <x:fill>
      <x:patternFill patternType="solid">
        <x:fgColor rgb="334155"/>
      </x:patternFill>
    </x:fill>
    <x:fill>
      <x:patternFill patternType="solid">
        <x:fgColor rgb="0F766E"/>
      </x:patternFill>
    </x:fill>
    <x:fill>
      <x:patternFill patternType="solid">
        <x:fgColor rgb="E0F2FE"/>
      </x:patternFill>
    </x:fill>
    <x:fill>
      <x:patternFill patternType="solid">
        <x:fgColor rgb="F8FAFC"/>
      </x:patternFill>
    </x:fill>
  </x:fills>
  <x:borders count="2">
    <x:border/>
    <x:border/>
  </x:borders>
  <x:cellStyleXfs count="1">
    <x:xf numFmtId="0" fontId="0" fillId="0" borderId="0"/>
  </x:cellStyleXfs>
  <x:cellXfs count="7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0" fontId="3" fillId="4" borderId="0" xfId="0" applyNumberFormat="1" applyFont="1" applyFill="1" applyBorder="1"/>
    <x:xf numFmtId="20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0" fillId="6" borderId="1" xfId="0" applyNumberFormat="1" applyFont="1" applyFill="1" applyBorder="1"/>
    <x:xf numFmtId="0" fontId="2" fillId="6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2" fillId="6" borderId="0" xfId="0" applyNumberFormat="1" applyFont="1" applyFill="1" applyBorder="1" applyAlignment="1">
      <x:alignment horizontal="center"/>
    </x:xf>
    <x:xf numFmtId="0" fontId="2" fillId="6" borderId="0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/>
    </x:xf>
    <x:xf numFmtId="0" fontId="2" fillId="6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6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2" fillId="6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0" fontId="0" fillId="4" borderId="0" xfId="0" applyNumberFormat="1" applyFont="1" applyFill="1" applyBorder="1" applyAlignment="1">
      <x:alignment wrapText="1"/>
    </x:xf>
    <x:xf numFmtId="200" fontId="0" fillId="4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horizontal="center"/>
    </x:xf>
    <x:xf numFmtId="0" fontId="7" fillId="8" borderId="0" xfId="0" applyNumberFormat="1" applyFont="1" applyFill="1" applyBorder="1" applyAlignment="1">
      <x:alignment horizontal="center" vertical="center"/>
    </x:xf>
    <x:xf numFmtId="0" fontId="6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horizontal="left"/>
    </x:xf>
    <x:xf numFmtId="0" fontId="6" fillId="10" borderId="0" xfId="0" applyNumberFormat="1" applyFont="1" applyFill="1" applyBorder="1"/>
    <x:xf numFmtId="0" fontId="8" fillId="10" borderId="0" xfId="0" applyNumberFormat="1" applyFont="1" applyFill="1" applyBorder="1"/>
    <x:xf numFmtId="0" fontId="8" fillId="10" borderId="0" xfId="0" applyNumberFormat="1" applyFont="1" applyFill="1" applyBorder="1" applyAlignment="1">
      <x:alignment horizontal="center"/>
    </x:xf>
    <x:xf numFmtId="0" fontId="8" fillId="10" borderId="0" xfId="0" applyNumberFormat="1" applyFont="1" applyFill="1" applyBorder="1" applyAlignment="1">
      <x:alignment horizontal="center" vertical="center"/>
    </x:xf>
    <x:xf numFmtId="0" fontId="6" fillId="11" borderId="0" xfId="0" applyNumberFormat="1" applyFont="1" applyFill="1" applyBorder="1"/>
    <x:xf numFmtId="0" fontId="9" fillId="11" borderId="0" xfId="0" applyNumberFormat="1" applyFont="1" applyFill="1" applyBorder="1"/>
    <x:xf numFmtId="0" fontId="6" fillId="12" borderId="0" xfId="0" applyNumberFormat="1" applyFont="1" applyFill="1" applyBorder="1"/>
    <x:xf numFmtId="0" fontId="9" fillId="12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2" fontId="6" fillId="0" borderId="0" xfId="0" applyNumberFormat="1" applyFont="1" applyFill="1" applyBorder="1"/>
    <x:xf numFmtId="200" fontId="6" fillId="0" borderId="0" xfId="0" applyNumberFormat="1" applyFont="1" applyFill="1" applyBorder="1"/>
    <x:xf numFmtId="203" fontId="6" fillId="0" borderId="0" xfId="0" applyNumberFormat="1" applyFont="1" applyFill="1" applyBorder="1"/>
    <x:xf numFmtId="204" fontId="6" fillId="0" borderId="0" xfId="0" applyNumberFormat="1" applyFont="1" applyFill="1" applyBorder="1"/>
    <x:xf numFmtId="203" fontId="9" fillId="12" borderId="0" xfId="0" applyNumberFormat="1" applyFont="1" applyFill="1" applyBorder="1"/>
    <x:xf numFmtId="204" fontId="9" fillId="12" borderId="0" xfId="0" applyNumberFormat="1" applyFont="1" applyFill="1" applyBorder="1"/>
    <x:xf numFmtId="205" fontId="9" fillId="12" borderId="0" xfId="0" applyNumberFormat="1" applyFont="1" applyFill="1" applyBorder="1"/>
  </x:cellXfs>
  <x:cellStyles count="1">
    <x:cellStyle name="Normal" xfId="0"/>
  </x:cellStyles>
  <x:dxfs count="2">
    <x:dxf>
      <x:font>
        <x:b/>
        <x:color rgb="991B1B"/>
      </x:font>
      <x:fill>
        <x:patternFill>
          <x:bgColor rgb="FEE2E2"/>
        </x:patternFill>
      </x:fill>
    </x:dxf>
    <x:dxf>
      <x:font>
        <x:b/>
        <x:color rgb="166534"/>
      </x:font>
      <x:fill>
        <x:patternFill patternType="solid">
          <x:bgColor rgb="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d510b65cd846b2" /><Relationship Type="http://schemas.openxmlformats.org/officeDocument/2006/relationships/theme" Target="/xl/theme/theme1.xml" Id="R927a8bd142b8430b" /><Relationship Type="http://schemas.openxmlformats.org/officeDocument/2006/relationships/sharedStrings" Target="/xl/sharedStrings.xml" Id="R13d9b682c8c94619" /><Relationship Type="http://schemas.openxmlformats.org/officeDocument/2006/relationships/worksheet" Target="/xl/worksheets/sheet1.xml" Id="R61af540358114edb" /><Relationship Type="http://schemas.openxmlformats.org/officeDocument/2006/relationships/worksheet" Target="/xl/worksheets/sheet2.xml" Id="Rbf1c6afc261f47c5" /><Relationship Type="http://schemas.openxmlformats.org/officeDocument/2006/relationships/worksheet" Target="/xl/worksheets/sheet3.xml" Id="R5030de38f764403c" /><Relationship Type="http://schemas.openxmlformats.org/officeDocument/2006/relationships/worksheet" Target="/xl/worksheets/sheet4.xml" Id="Rdc068bb7773a47ac" /><Relationship Type="http://schemas.openxmlformats.org/officeDocument/2006/relationships/worksheet" Target="/xl/worksheets/sheet5.xml" Id="Re7856fc418794f90" /><Relationship Type="http://schemas.openxmlformats.org/officeDocument/2006/relationships/worksheet" Target="/xl/worksheets/sheet6.xml" Id="R2424b263faff40c0" /><Relationship Type="http://schemas.openxmlformats.org/officeDocument/2006/relationships/worksheet" Target="/xl/worksheets/sheet7.xml" Id="R0be4c738d38848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7fa285dbea84d41" /><Relationship Type="http://schemas.openxmlformats.org/officeDocument/2006/relationships/chart" Target="/xl/drawings/charts/chart2.xml" Id="Rfa158e6266f14f47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ayout/>
      <c:barChart>
        <c:barDir val="col"/>
        <c:varyColors val="0"/>
        <c:ser>
          <c:idx val="0"/>
          <c:order val="0"/>
          <c:tx>
            <c:v>Revenue</c:v>
          </c:tx>
          <c:cat>
            <c:strRef>
              <c:f>'AB_Dashboard'!$A$13:$A$14</c:f>
              <c:strCache>
                <c:ptCount val="0"/>
              </c:strCache>
            </c:strRef>
          </c:cat>
          <c:val>
            <c:numRef>
              <c:f>'AB_Dashboard'!$E$13:$E$14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plotArea>
      <c:layout/>
      <c:barChart>
        <c:barDir val="col"/>
        <c:varyColors val="0"/>
        <c:ser>
          <c:idx val="0"/>
          <c:order val="0"/>
          <c:tx>
            <c:v>Conversion</c:v>
          </c:tx>
          <c:cat>
            <c:strRef>
              <c:f>'AB_Dashboard'!$A$13:$A$14</c:f>
              <c:strCache>
                <c:ptCount val="0"/>
              </c:strCache>
            </c:strRef>
          </c:cat>
          <c:val>
            <c:numRef>
              <c:f>'AB_Dashboard'!$D$13:$D$14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fa285dbea84d41"/>
        </a:graphicData>
      </a:graphic>
    </xdr:graphicFrame>
    <xdr:clientData/>
  </xdr:twoCellAnchor>
  <xdr:twoCellAnchor>
    <xdr:from>
      <xdr:col>9</xdr:col>
      <xdr:colOff>0</xdr:colOff>
      <xdr:row>18</xdr:row>
      <xdr:rowOff>0</xdr:rowOff>
    </xdr:from>
    <xdr:to>
      <xdr:col>17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158e6266f14f4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ricingModelTable" displayName="PricingModelTable" ref="A1:O16" headerRowCount="1">
  <x:tableColumns count="15">
    <x:tableColumn id="1" name="Country"/>
    <x:tableColumn id="2" name="Currency"/>
    <x:tableColumn id="3" name="PPP Factor"/>
    <x:tableColumn id="4" name="Tier"/>
    <x:tableColumn id="5" name="Base USD"/>
    <x:tableColumn id="6" name="PPP Price USD"/>
    <x:tableColumn id="7" name="Market Adj"/>
    <x:tableColumn id="8" name="FX USD→Local"/>
    <x:tableColumn id="9" name="Raw Local Price"/>
    <x:tableColumn id="10" name="Rounding Group"/>
    <x:tableColumn id="11" name="Final Rounded Local"/>
    <x:tableColumn id="12" name="Final USD Approx"/>
    <x:tableColumn id="13" name="Recommended Action"/>
    <x:tableColumn id="14" name="FX Formula for Google Sheets"/>
    <x:tableColumn id="15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RoundingRulesTable" displayName="RoundingRulesTable" ref="A3:E12" headerRowCount="1">
  <x:tableColumns count="5">
    <x:tableColumn id="1" name="Group"/>
    <x:tableColumn id="2" name="Currency"/>
    <x:tableColumn id="3" name="Logic"/>
    <x:tableColumn id="4" name="Suggested Tiers"/>
    <x:tableColumn id="5" name="Edit Note"/>
  </x:tableColumns>
  <x:tableStyleInfo name="TableStyleMedium2" showRowStripes="1"/>
</x:table>
</file>

<file path=xl/tables/table3.xml><?xml version="1.0" encoding="utf-8"?>
<x:table xmlns:x="http://schemas.openxmlformats.org/spreadsheetml/2006/main" id="3" name="SourceNotesTable" displayName="SourceNotesTable" ref="A3:E7" headerRowCount="1">
  <x:tableColumns count="5">
    <x:tableColumn id="1" name="Input"/>
    <x:tableColumn id="2" name="Purpose"/>
    <x:tableColumn id="3" name="Source / URL"/>
    <x:tableColumn id="4" name="Refresh Cadence"/>
    <x:tableColumn id="5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ABTestTable" displayName="ABTestTable" ref="A1:L200" headerRowCount="1">
  <x:tableColumns count="12">
    <x:tableColumn id="1" name="Date"/>
    <x:tableColumn id="2" name="App"/>
    <x:tableColumn id="3" name="Country"/>
    <x:tableColumn id="4" name="Variant"/>
    <x:tableColumn id="5" name="Price"/>
    <x:tableColumn id="6" name="Currency"/>
    <x:tableColumn id="7" name="Impressions"/>
    <x:tableColumn id="8" name="Purchases"/>
    <x:tableColumn id="9" name="Conversion"/>
    <x:tableColumn id="10" name="Revenue"/>
    <x:tableColumn id="11" name="ARPU"/>
    <x:tableColumn id="12" name="Winner Note"/>
  </x:tableColumns>
  <x:tableStyleInfo name="TableStyleMedium2" showRowStripes="1"/>
</x:table>
</file>

<file path=xl/tables/table5.xml><?xml version="1.0" encoding="utf-8"?>
<x:table xmlns:x="http://schemas.openxmlformats.org/spreadsheetml/2006/main" id="5" name="VariantSummaryTable" displayName="VariantSummaryTable" ref="A12:H14" headerRowCount="1">
  <x:tableColumns count="8">
    <x:tableColumn id="1" name="Variant"/>
    <x:tableColumn id="2" name="Impressions"/>
    <x:tableColumn id="3" name="Purchases"/>
    <x:tableColumn id="4" name="Conversion"/>
    <x:tableColumn id="5" name="Revenue"/>
    <x:tableColumn id="6" name="ARPU"/>
    <x:tableColumn id="7" name="Revenue Share"/>
    <x:tableColumn id="8" name="Decision"/>
  </x:tableColumns>
  <x:tableStyleInfo name="TableStyleMedium2" showRowStripes="1"/>
</x:table>
</file>

<file path=xl/tables/table6.xml><?xml version="1.0" encoding="utf-8"?>
<x:table xmlns:x="http://schemas.openxmlformats.org/spreadsheetml/2006/main" id="6" name="BreakdownTable" displayName="BreakdownTable" ref="A19:H27" headerRowCount="1">
  <x:tableColumns count="8">
    <x:tableColumn id="1" name="App"/>
    <x:tableColumn id="2" name="Country"/>
    <x:tableColumn id="3" name="Variant"/>
    <x:tableColumn id="4" name="Impressions"/>
    <x:tableColumn id="5" name="Purchases"/>
    <x:tableColumn id="6" name="Conversion"/>
    <x:tableColumn id="7" name="Revenue"/>
    <x:tableColumn id="8" name="ARPU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b2c4daee13d4e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8ef6a108199445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43f43fb232b490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4e360dea32149a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9248ea3facff47f9" /><Relationship Type="http://schemas.openxmlformats.org/officeDocument/2006/relationships/table" Target="/xl/tables/table5.xml" Id="Re14dd8c1afe7469e" /><Relationship Type="http://schemas.openxmlformats.org/officeDocument/2006/relationships/table" Target="/xl/tables/table6.xml" Id="Rca11ce908ddd487c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</x:cols>
  <x:sheetData>
    <x:row r="1" ht="30" customHeight="1">
      <x:c r="A1" s="5" t="str">
        <x:v>Play Store PPP Pricing Template</x:v>
      </x:c>
    </x:row>
    <x:row r="3">
      <x:c r="A3" s="11" t="str">
        <x:v>Base Price USD</x:v>
      </x:c>
      <x:c r="B3" s="18" t="n">
        <x:v>2.99</x:v>
      </x:c>
    </x:row>
    <x:row r="4">
      <x:c r="A4" s="11" t="str">
        <x:v>Global Min USD</x:v>
      </x:c>
      <x:c r="B4" s="18" t="n">
        <x:v>0.49</x:v>
      </x:c>
    </x:row>
    <x:row r="5">
      <x:c r="A5" s="11" t="str">
        <x:v>High PPP Floor USD</x:v>
      </x:c>
      <x:c r="B5" s="18" t="n">
        <x:v>1.99</x:v>
      </x:c>
    </x:row>
    <x:row r="6">
      <x:c r="A6" s="11" t="str">
        <x:v>Default Market Adj</x:v>
      </x:c>
      <x:c r="B6" s="15" t="n">
        <x:v>1</x:v>
      </x:c>
    </x:row>
    <x:row r="7">
      <x:c r="A7" s="11" t="str">
        <x:v>Default FX Source</x:v>
      </x:c>
      <x:c r="B7" s="15" t="str">
        <x:v>Manual / Google Sheets formula</x:v>
      </x:c>
    </x:row>
    <x:row r="8">
      <x:c r="A8" s="11" t="str">
        <x:v>Last Updated</x:v>
      </x:c>
      <x:c r="B8" s="15" t="str">
        <x:v>2026-05-01</x:v>
      </x:c>
    </x:row>
    <x:row r="9">
      <x:c r="A9" s="11" t="str">
        <x:v>Notes</x:v>
      </x:c>
      <x:c r="B9" s="15" t="str">
        <x:v>Edit yellow cells only. Final price uses PPP + Market Adj + FX + rounding rules.</x:v>
      </x:c>
    </x:row>
    <x:row r="10">
      <x:c r="A10" s="11" t="str">
        <x:v>Output Sheet</x:v>
      </x:c>
      <x:c r="B10" s="15" t="str">
        <x:v>PricingModel</x:v>
      </x:c>
    </x:row>
    <x:row r="12">
      <x:c r="A12" s="21" t="str">
        <x:v>How to use</x:v>
      </x:c>
      <x:c r="B12" s="21" t="str">
        <x:v>1) Set Base Price USD in B3</x:v>
      </x:c>
      <x:c r="C12" s="21" t="str">
        <x:v>2) Edit PPP/Market Adj/FX in PricingModel</x:v>
      </x:c>
      <x:c r="D12" s="21" t="str">
        <x:v>3) Check Final Rounded Local Price</x:v>
      </x:c>
      <x:c r="E12" s="21" t="str">
        <x:v>4) Enter prices manually in Play Console</x:v>
      </x:c>
      <x:c r="F12" s="21" t="str"/>
      <x:c r="G12" s="21" t="str"/>
      <x:c r="H12" s="21" t="str"/>
    </x:row>
    <x:row r="14">
      <x:c r="A14" s="25" t="str">
        <x:v>Tier</x:v>
      </x:c>
      <x:c r="B14" s="25" t="str">
        <x:v>PPP Range</x:v>
      </x:c>
      <x:c r="C14" s="25" t="str">
        <x:v>Strategy</x:v>
      </x:c>
      <x:c r="D14" s="25" t="str">
        <x:v>Typical Use</x:v>
      </x:c>
      <x:c r="E14" t="str"/>
      <x:c r="F14" t="str"/>
      <x:c r="G14" t="str"/>
      <x:c r="H14" t="str"/>
    </x:row>
    <x:row r="15">
      <x:c r="A15" s="28" t="str">
        <x:v>A</x:v>
      </x:c>
      <x:c r="B15" s="28" t="str">
        <x:v>0.80 - 1.00</x:v>
      </x:c>
      <x:c r="C15" s="28" t="str">
        <x:v>Premium / near full price</x:v>
      </x:c>
      <x:c r="D15" s="28" t="str">
        <x:v>US, wealthier EU</x:v>
      </x:c>
      <x:c r="E15" t="str"/>
      <x:c r="F15" t="str"/>
      <x:c r="G15" t="str"/>
      <x:c r="H15" t="str"/>
    </x:row>
    <x:row r="16">
      <x:c r="A16" s="28" t="str">
        <x:v>B</x:v>
      </x:c>
      <x:c r="B16" s="28" t="str">
        <x:v>0.60 - 0.79</x:v>
      </x:c>
      <x:c r="C16" s="28" t="str">
        <x:v>Slight discount</x:v>
      </x:c>
      <x:c r="D16" s="28" t="str">
        <x:v>Strong purchasing power</x:v>
      </x:c>
      <x:c r="E16" t="str"/>
      <x:c r="F16" t="str"/>
      <x:c r="G16" t="str"/>
      <x:c r="H16" t="str"/>
    </x:row>
    <x:row r="17">
      <x:c r="A17" s="28" t="str">
        <x:v>C</x:v>
      </x:c>
      <x:c r="B17" s="28" t="str">
        <x:v>0.40 - 0.59</x:v>
      </x:c>
      <x:c r="C17" s="28" t="str">
        <x:v>Mid discount</x:v>
      </x:c>
      <x:c r="D17" s="28" t="str">
        <x:v>Balanced conversion/revenue</x:v>
      </x:c>
      <x:c r="E17" t="str"/>
      <x:c r="F17" t="str"/>
      <x:c r="G17" t="str"/>
      <x:c r="H17" t="str"/>
    </x:row>
    <x:row r="18">
      <x:c r="A18" s="28" t="str">
        <x:v>D/E</x:v>
      </x:c>
      <x:c r="B18" s="28" t="str">
        <x:v>0.10 - 0.39</x:v>
      </x:c>
      <x:c r="C18" s="28" t="str">
        <x:v>Aggressive local price</x:v>
      </x:c>
      <x:c r="D18" s="28" t="str">
        <x:v>Volume markets</x:v>
      </x:c>
      <x:c r="E18" t="str"/>
      <x:c r="F18" t="str"/>
      <x:c r="G18" t="str"/>
      <x:c r="H18" t="str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30" hidden="0" customWidth="1"/>
    <x:col min="15" max="15" width="30" hidden="0" customWidth="1"/>
  </x:cols>
  <x:sheetData>
    <x:row r="1">
      <x:c r="A1" s="36" t="str">
        <x:v>Country</x:v>
      </x:c>
      <x:c r="B1" s="36" t="str">
        <x:v>Currency</x:v>
      </x:c>
      <x:c r="C1" s="36" t="str">
        <x:v>PPP Factor</x:v>
      </x:c>
      <x:c r="D1" s="36" t="str">
        <x:v>Tier</x:v>
      </x:c>
      <x:c r="E1" s="36" t="str">
        <x:v>Base USD</x:v>
      </x:c>
      <x:c r="F1" s="36" t="str">
        <x:v>PPP Price USD</x:v>
      </x:c>
      <x:c r="G1" s="36" t="str">
        <x:v>Market Adj</x:v>
      </x:c>
      <x:c r="H1" s="36" t="str">
        <x:v>FX USD→Local</x:v>
      </x:c>
      <x:c r="I1" s="36" t="str">
        <x:v>Raw Local Price</x:v>
      </x:c>
      <x:c r="J1" s="36" t="str">
        <x:v>Rounding Group</x:v>
      </x:c>
      <x:c r="K1" s="36" t="str">
        <x:v>Final Rounded Local</x:v>
      </x:c>
      <x:c r="L1" s="36" t="str">
        <x:v>Final USD Approx</x:v>
      </x:c>
      <x:c r="M1" s="36" t="str">
        <x:v>Recommended Action</x:v>
      </x:c>
      <x:c r="N1" s="36" t="str">
        <x:v>FX Formula for Google Sheets</x:v>
      </x:c>
      <x:c r="O1" s="36" t="str">
        <x:v>Notes</x:v>
      </x:c>
    </x:row>
    <x:row r="2">
      <x:c r="A2" s="37" t="str">
        <x:v>United States</x:v>
      </x:c>
      <x:c r="B2" s="37" t="str">
        <x:v>USD</x:v>
      </x:c>
      <x:c r="C2" s="42" t="n">
        <x:v>1</x:v>
      </x:c>
      <x:c r="D2" s="37" t="str">
        <x:f>IF(C2&gt;=0.8,"A",IF(C2&gt;=0.6,"B",IF(C2&gt;=0.4,"C",IF(C2&gt;=0.2,"D","E"))))</x:f>
        <x:v>A</x:v>
      </x:c>
      <x:c r="E2" s="38" t="n">
        <x:f>Dashboard!$B$3</x:f>
        <x:v>2.99</x:v>
      </x:c>
      <x:c r="F2" s="38" t="n">
        <x:f>MAX(Dashboard!$B$4,E2*C2)</x:f>
        <x:v>2.99</x:v>
      </x:c>
      <x:c r="G2" s="42" t="n">
        <x:v>1</x:v>
      </x:c>
      <x:c r="H2" s="42" t="n">
        <x:v>1</x:v>
      </x:c>
      <x:c r="I2" s="38" t="n">
        <x:f>F2*G2*H2</x:f>
        <x:v>2.99</x:v>
      </x:c>
      <x:c r="J2" s="37" t="str">
        <x:v>USD_99</x:v>
      </x:c>
      <x:c r="K2" s="38" t="n">
        <x:f>IF(J2="TRY_TIERS",IF(I2&lt;25,19,IF(I2&lt;35,29,IF(I2&lt;45,39,IF(I2&lt;60,49,79)))),
IF(J2="INR_TIERS",IF(I2&lt;40,29,IF(I2&lt;70,49,99)),
IF(J2="BRL_90",IF(I2&lt;3,2.9,IF(I2&lt;6,4.9,IF(I2&lt;10,6.9,9.9))),
IF(J2="IDR_000",ROUND(I2/1000,0)*1000,
IF(J2="JPY_00",ROUND(I2/100,0)*100,
IF(J2="KRW_000",ROUND(I2/1000,0)*1000,
IF(J2="VND_000",ROUND(I2/1000,0)*1000,
IF(OR(J2="USD_99",J2="EUR_99",J2="GBP_99",J2="CAD_99",J2="AUD_99",J2="PLN_99"),MAX(0.49,ROUND(I2,0)-0.01),
IF(J2="MXN_00",ROUND(I2,0),IF(J2="THB_00",ROUND(I2,0),ROUND(I2,2)))))))))))</x:f>
        <x:v>2.99</x:v>
      </x:c>
      <x:c r="L2" s="38" t="n">
        <x:f>K2/H2</x:f>
        <x:v>2.99</x:v>
      </x:c>
      <x:c r="M2" s="37" t="str">
        <x:f>IF(L2&lt;Dashboard!$B$4,"Below global min",IF(AND(C2&gt;=0.8,L2&lt;Dashboard!$B$5),"Raise high-PPP floor","OK"))</x:f>
        <x:v>OK</x:v>
      </x:c>
      <x:c r="N2" s="48" t="str">
        <x:v>=GOOGLEFINANCE("CURRENCY:USDUSD")</x:v>
      </x:c>
      <x:c r="O2" s="37" t="str">
        <x:v>Reference market</x:v>
      </x:c>
    </x:row>
    <x:row r="3">
      <x:c r="A3" s="37" t="str">
        <x:v>Germany</x:v>
      </x:c>
      <x:c r="B3" s="37" t="str">
        <x:v>EUR</x:v>
      </x:c>
      <x:c r="C3" s="42" t="n">
        <x:v>0.85</x:v>
      </x:c>
      <x:c r="D3" s="37" t="str">
        <x:f>IF(C3&gt;=0.8,"A",IF(C3&gt;=0.6,"B",IF(C3&gt;=0.4,"C",IF(C3&gt;=0.2,"D","E"))))</x:f>
        <x:v>A</x:v>
      </x:c>
      <x:c r="E3" s="38" t="n">
        <x:f>Dashboard!$B$3</x:f>
        <x:v>2.99</x:v>
      </x:c>
      <x:c r="F3" s="38" t="n">
        <x:f>MAX(Dashboard!$B$4,E3*C3)</x:f>
        <x:v>2.5415</x:v>
      </x:c>
      <x:c r="G3" s="42" t="n">
        <x:v>1</x:v>
      </x:c>
      <x:c r="H3" s="42" t="n">
        <x:v>0.93</x:v>
      </x:c>
      <x:c r="I3" s="38" t="n">
        <x:f>F3*G3*H3</x:f>
        <x:v>2.363595</x:v>
      </x:c>
      <x:c r="J3" s="37" t="str">
        <x:v>EUR_99</x:v>
      </x:c>
      <x:c r="K3" s="38" t="n">
        <x:f>IF(J3="TRY_TIERS",IF(I3&lt;25,19,IF(I3&lt;35,29,IF(I3&lt;45,39,IF(I3&lt;60,49,79)))),
IF(J3="INR_TIERS",IF(I3&lt;40,29,IF(I3&lt;70,49,99)),
IF(J3="BRL_90",IF(I3&lt;3,2.9,IF(I3&lt;6,4.9,IF(I3&lt;10,6.9,9.9))),
IF(J3="IDR_000",ROUND(I3/1000,0)*1000,
IF(J3="JPY_00",ROUND(I3/100,0)*100,
IF(J3="KRW_000",ROUND(I3/1000,0)*1000,
IF(J3="VND_000",ROUND(I3/1000,0)*1000,
IF(OR(J3="USD_99",J3="EUR_99",J3="GBP_99",J3="CAD_99",J3="AUD_99",J3="PLN_99"),MAX(0.49,ROUND(I3,0)-0.01),
IF(J3="MXN_00",ROUND(I3,0),IF(J3="THB_00",ROUND(I3,0),ROUND(I3,2)))))))))))</x:f>
        <x:v>1.99</x:v>
      </x:c>
      <x:c r="L3" s="38" t="n">
        <x:f>K3/H3</x:f>
        <x:v>2.139784946236559</x:v>
      </x:c>
      <x:c r="M3" s="37" t="str">
        <x:f>IF(L3&lt;Dashboard!$B$4,"Below global min",IF(AND(C3&gt;=0.8,L3&lt;Dashboard!$B$5),"Raise high-PPP floor","OK"))</x:f>
        <x:v>OK</x:v>
      </x:c>
      <x:c r="N3" s="48" t="str">
        <x:v>=GOOGLEFINANCE("CURRENCY:USDEUR")</x:v>
      </x:c>
      <x:c r="O3" s="37" t="str">
        <x:v>EU premium market</x:v>
      </x:c>
    </x:row>
    <x:row r="4">
      <x:c r="A4" s="37" t="str">
        <x:v>United Kingdom</x:v>
      </x:c>
      <x:c r="B4" s="37" t="str">
        <x:v>GBP</x:v>
      </x:c>
      <x:c r="C4" s="42" t="n">
        <x:v>0.83</x:v>
      </x:c>
      <x:c r="D4" s="37" t="str">
        <x:f>IF(C4&gt;=0.8,"A",IF(C4&gt;=0.6,"B",IF(C4&gt;=0.4,"C",IF(C4&gt;=0.2,"D","E"))))</x:f>
        <x:v>A</x:v>
      </x:c>
      <x:c r="E4" s="38" t="n">
        <x:f>Dashboard!$B$3</x:f>
        <x:v>2.99</x:v>
      </x:c>
      <x:c r="F4" s="38" t="n">
        <x:f>MAX(Dashboard!$B$4,E4*C4)</x:f>
        <x:v>2.4817</x:v>
      </x:c>
      <x:c r="G4" s="42" t="n">
        <x:v>1</x:v>
      </x:c>
      <x:c r="H4" s="42" t="n">
        <x:v>0.8</x:v>
      </x:c>
      <x:c r="I4" s="38" t="n">
        <x:f>F4*G4*H4</x:f>
        <x:v>1.98536</x:v>
      </x:c>
      <x:c r="J4" s="37" t="str">
        <x:v>GBP_99</x:v>
      </x:c>
      <x:c r="K4" s="38" t="n">
        <x:f>IF(J4="TRY_TIERS",IF(I4&lt;25,19,IF(I4&lt;35,29,IF(I4&lt;45,39,IF(I4&lt;60,49,79)))),
IF(J4="INR_TIERS",IF(I4&lt;40,29,IF(I4&lt;70,49,99)),
IF(J4="BRL_90",IF(I4&lt;3,2.9,IF(I4&lt;6,4.9,IF(I4&lt;10,6.9,9.9))),
IF(J4="IDR_000",ROUND(I4/1000,0)*1000,
IF(J4="JPY_00",ROUND(I4/100,0)*100,
IF(J4="KRW_000",ROUND(I4/1000,0)*1000,
IF(J4="VND_000",ROUND(I4/1000,0)*1000,
IF(OR(J4="USD_99",J4="EUR_99",J4="GBP_99",J4="CAD_99",J4="AUD_99",J4="PLN_99"),MAX(0.49,ROUND(I4,0)-0.01),
IF(J4="MXN_00",ROUND(I4,0),IF(J4="THB_00",ROUND(I4,0),ROUND(I4,2)))))))))))</x:f>
        <x:v>1.99</x:v>
      </x:c>
      <x:c r="L4" s="38" t="n">
        <x:f>K4/H4</x:f>
        <x:v>2.4875</x:v>
      </x:c>
      <x:c r="M4" s="37" t="str">
        <x:f>IF(L4&lt;Dashboard!$B$4,"Below global min",IF(AND(C4&gt;=0.8,L4&lt;Dashboard!$B$5),"Raise high-PPP floor","OK"))</x:f>
        <x:v>OK</x:v>
      </x:c>
      <x:c r="N4" s="48" t="str">
        <x:v>=GOOGLEFINANCE("CURRENCY:USDGBP")</x:v>
      </x:c>
      <x:c r="O4" s="37" t="str"/>
    </x:row>
    <x:row r="5">
      <x:c r="A5" s="37" t="str">
        <x:v>Türkiye</x:v>
      </x:c>
      <x:c r="B5" s="37" t="str">
        <x:v>TRY</x:v>
      </x:c>
      <x:c r="C5" s="42" t="n">
        <x:v>0.4</x:v>
      </x:c>
      <x:c r="D5" s="37" t="str">
        <x:f>IF(C5&gt;=0.8,"A",IF(C5&gt;=0.6,"B",IF(C5&gt;=0.4,"C",IF(C5&gt;=0.2,"D","E"))))</x:f>
        <x:v>C</x:v>
      </x:c>
      <x:c r="E5" s="38" t="n">
        <x:f>Dashboard!$B$3</x:f>
        <x:v>2.99</x:v>
      </x:c>
      <x:c r="F5" s="38" t="n">
        <x:f>MAX(Dashboard!$B$4,E5*C5)</x:f>
        <x:v>1.1960000000000002</x:v>
      </x:c>
      <x:c r="G5" s="42" t="n">
        <x:v>0.9</x:v>
      </x:c>
      <x:c r="H5" s="42" t="n">
        <x:v>32</x:v>
      </x:c>
      <x:c r="I5" s="38" t="n">
        <x:f>F5*G5*H5</x:f>
        <x:v>34.44480000000001</x:v>
      </x:c>
      <x:c r="J5" s="37" t="str">
        <x:v>TRY_TIERS</x:v>
      </x:c>
      <x:c r="K5" s="38" t="n">
        <x:f>IF(J5="TRY_TIERS",IF(I5&lt;25,19,IF(I5&lt;35,29,IF(I5&lt;45,39,IF(I5&lt;60,49,79)))),
IF(J5="INR_TIERS",IF(I5&lt;40,29,IF(I5&lt;70,49,99)),
IF(J5="BRL_90",IF(I5&lt;3,2.9,IF(I5&lt;6,4.9,IF(I5&lt;10,6.9,9.9))),
IF(J5="IDR_000",ROUND(I5/1000,0)*1000,
IF(J5="JPY_00",ROUND(I5/100,0)*100,
IF(J5="KRW_000",ROUND(I5/1000,0)*1000,
IF(J5="VND_000",ROUND(I5/1000,0)*1000,
IF(OR(J5="USD_99",J5="EUR_99",J5="GBP_99",J5="CAD_99",J5="AUD_99",J5="PLN_99"),MAX(0.49,ROUND(I5,0)-0.01),
IF(J5="MXN_00",ROUND(I5,0),IF(J5="THB_00",ROUND(I5,0),ROUND(I5,2)))))))))))</x:f>
        <x:v>29</x:v>
      </x:c>
      <x:c r="L5" s="38" t="n">
        <x:f>K5/H5</x:f>
        <x:v>0.90625</x:v>
      </x:c>
      <x:c r="M5" s="37" t="str">
        <x:f>IF(L5&lt;Dashboard!$B$4,"Below global min",IF(AND(C5&gt;=0.8,L5&lt;Dashboard!$B$5),"Raise high-PPP floor","OK"))</x:f>
        <x:v>OK</x:v>
      </x:c>
      <x:c r="N5" s="48" t="str">
        <x:v>=GOOGLEFINANCE("CURRENCY:USDTRY")</x:v>
      </x:c>
      <x:c r="O5" s="37" t="str">
        <x:v>Usually test 29/39/49</x:v>
      </x:c>
    </x:row>
    <x:row r="6">
      <x:c r="A6" s="37" t="str">
        <x:v>India</x:v>
      </x:c>
      <x:c r="B6" s="37" t="str">
        <x:v>INR</x:v>
      </x:c>
      <x:c r="C6" s="42" t="n">
        <x:v>0.2</x:v>
      </x:c>
      <x:c r="D6" s="37" t="str">
        <x:f>IF(C6&gt;=0.8,"A",IF(C6&gt;=0.6,"B",IF(C6&gt;=0.4,"C",IF(C6&gt;=0.2,"D","E"))))</x:f>
        <x:v>D</x:v>
      </x:c>
      <x:c r="E6" s="38" t="n">
        <x:f>Dashboard!$B$3</x:f>
        <x:v>2.99</x:v>
      </x:c>
      <x:c r="F6" s="38" t="n">
        <x:f>MAX(Dashboard!$B$4,E6*C6)</x:f>
        <x:v>0.5980000000000001</x:v>
      </x:c>
      <x:c r="G6" s="42" t="n">
        <x:v>0.8</x:v>
      </x:c>
      <x:c r="H6" s="42" t="n">
        <x:v>83</x:v>
      </x:c>
      <x:c r="I6" s="38" t="n">
        <x:f>F6*G6*H6</x:f>
        <x:v>39.70720000000001</x:v>
      </x:c>
      <x:c r="J6" s="37" t="str">
        <x:v>INR_TIERS</x:v>
      </x:c>
      <x:c r="K6" s="38" t="n">
        <x:f>IF(J6="TRY_TIERS",IF(I6&lt;25,19,IF(I6&lt;35,29,IF(I6&lt;45,39,IF(I6&lt;60,49,79)))),
IF(J6="INR_TIERS",IF(I6&lt;40,29,IF(I6&lt;70,49,99)),
IF(J6="BRL_90",IF(I6&lt;3,2.9,IF(I6&lt;6,4.9,IF(I6&lt;10,6.9,9.9))),
IF(J6="IDR_000",ROUND(I6/1000,0)*1000,
IF(J6="JPY_00",ROUND(I6/100,0)*100,
IF(J6="KRW_000",ROUND(I6/1000,0)*1000,
IF(J6="VND_000",ROUND(I6/1000,0)*1000,
IF(OR(J6="USD_99",J6="EUR_99",J6="GBP_99",J6="CAD_99",J6="AUD_99",J6="PLN_99"),MAX(0.49,ROUND(I6,0)-0.01),
IF(J6="MXN_00",ROUND(I6,0),IF(J6="THB_00",ROUND(I6,0),ROUND(I6,2)))))))))))</x:f>
        <x:v>29</x:v>
      </x:c>
      <x:c r="L6" s="38" t="n">
        <x:f>K6/H6</x:f>
        <x:v>0.3493975903614458</x:v>
      </x:c>
      <x:c r="M6" s="37" t="str">
        <x:f>IF(L6&lt;Dashboard!$B$4,"Below global min",IF(AND(C6&gt;=0.8,L6&lt;Dashboard!$B$5),"Raise high-PPP floor","OK"))</x:f>
        <x:v>Below global min</x:v>
      </x:c>
      <x:c r="N6" s="48" t="str">
        <x:v>=GOOGLEFINANCE("CURRENCY:USDINR")</x:v>
      </x:c>
      <x:c r="O6" s="37" t="str">
        <x:v>Volume market</x:v>
      </x:c>
    </x:row>
    <x:row r="7">
      <x:c r="A7" s="37" t="str">
        <x:v>Brazil</x:v>
      </x:c>
      <x:c r="B7" s="37" t="str">
        <x:v>BRL</x:v>
      </x:c>
      <x:c r="C7" s="42" t="n">
        <x:v>0.35</x:v>
      </x:c>
      <x:c r="D7" s="37" t="str">
        <x:f>IF(C7&gt;=0.8,"A",IF(C7&gt;=0.6,"B",IF(C7&gt;=0.4,"C",IF(C7&gt;=0.2,"D","E"))))</x:f>
        <x:v>D</x:v>
      </x:c>
      <x:c r="E7" s="38" t="n">
        <x:f>Dashboard!$B$3</x:f>
        <x:v>2.99</x:v>
      </x:c>
      <x:c r="F7" s="38" t="n">
        <x:f>MAX(Dashboard!$B$4,E7*C7)</x:f>
        <x:v>1.0465</x:v>
      </x:c>
      <x:c r="G7" s="42" t="n">
        <x:v>0.85</x:v>
      </x:c>
      <x:c r="H7" s="42" t="n">
        <x:v>5</x:v>
      </x:c>
      <x:c r="I7" s="38" t="n">
        <x:f>F7*G7*H7</x:f>
        <x:v>4.447625</x:v>
      </x:c>
      <x:c r="J7" s="37" t="str">
        <x:v>BRL_90</x:v>
      </x:c>
      <x:c r="K7" s="38" t="n">
        <x:f>IF(J7="TRY_TIERS",IF(I7&lt;25,19,IF(I7&lt;35,29,IF(I7&lt;45,39,IF(I7&lt;60,49,79)))),
IF(J7="INR_TIERS",IF(I7&lt;40,29,IF(I7&lt;70,49,99)),
IF(J7="BRL_90",IF(I7&lt;3,2.9,IF(I7&lt;6,4.9,IF(I7&lt;10,6.9,9.9))),
IF(J7="IDR_000",ROUND(I7/1000,0)*1000,
IF(J7="JPY_00",ROUND(I7/100,0)*100,
IF(J7="KRW_000",ROUND(I7/1000,0)*1000,
IF(J7="VND_000",ROUND(I7/1000,0)*1000,
IF(OR(J7="USD_99",J7="EUR_99",J7="GBP_99",J7="CAD_99",J7="AUD_99",J7="PLN_99"),MAX(0.49,ROUND(I7,0)-0.01),
IF(J7="MXN_00",ROUND(I7,0),IF(J7="THB_00",ROUND(I7,0),ROUND(I7,2)))))))))))</x:f>
        <x:v>4.9</x:v>
      </x:c>
      <x:c r="L7" s="38" t="n">
        <x:f>K7/H7</x:f>
        <x:v>0.9800000000000001</x:v>
      </x:c>
      <x:c r="M7" s="37" t="str">
        <x:f>IF(L7&lt;Dashboard!$B$4,"Below global min",IF(AND(C7&gt;=0.8,L7&lt;Dashboard!$B$5),"Raise high-PPP floor","OK"))</x:f>
        <x:v>OK</x:v>
      </x:c>
      <x:c r="N7" s="48" t="str">
        <x:v>=GOOGLEFINANCE("CURRENCY:USDBRL")</x:v>
      </x:c>
      <x:c r="O7" s="37" t="str"/>
    </x:row>
    <x:row r="8">
      <x:c r="A8" s="37" t="str">
        <x:v>Indonesia</x:v>
      </x:c>
      <x:c r="B8" s="37" t="str">
        <x:v>IDR</x:v>
      </x:c>
      <x:c r="C8" s="42" t="n">
        <x:v>0.25</x:v>
      </x:c>
      <x:c r="D8" s="37" t="str">
        <x:f>IF(C8&gt;=0.8,"A",IF(C8&gt;=0.6,"B",IF(C8&gt;=0.4,"C",IF(C8&gt;=0.2,"D","E"))))</x:f>
        <x:v>D</x:v>
      </x:c>
      <x:c r="E8" s="38" t="n">
        <x:f>Dashboard!$B$3</x:f>
        <x:v>2.99</x:v>
      </x:c>
      <x:c r="F8" s="38" t="n">
        <x:f>MAX(Dashboard!$B$4,E8*C8)</x:f>
        <x:v>0.7475</x:v>
      </x:c>
      <x:c r="G8" s="42" t="n">
        <x:v>0.8</x:v>
      </x:c>
      <x:c r="H8" s="42" t="n">
        <x:v>15500</x:v>
      </x:c>
      <x:c r="I8" s="38" t="n">
        <x:f>F8*G8*H8</x:f>
        <x:v>9269.000000000002</x:v>
      </x:c>
      <x:c r="J8" s="37" t="str">
        <x:v>IDR_000</x:v>
      </x:c>
      <x:c r="K8" s="38" t="n">
        <x:f>IF(J8="TRY_TIERS",IF(I8&lt;25,19,IF(I8&lt;35,29,IF(I8&lt;45,39,IF(I8&lt;60,49,79)))),
IF(J8="INR_TIERS",IF(I8&lt;40,29,IF(I8&lt;70,49,99)),
IF(J8="BRL_90",IF(I8&lt;3,2.9,IF(I8&lt;6,4.9,IF(I8&lt;10,6.9,9.9))),
IF(J8="IDR_000",ROUND(I8/1000,0)*1000,
IF(J8="JPY_00",ROUND(I8/100,0)*100,
IF(J8="KRW_000",ROUND(I8/1000,0)*1000,
IF(J8="VND_000",ROUND(I8/1000,0)*1000,
IF(OR(J8="USD_99",J8="EUR_99",J8="GBP_99",J8="CAD_99",J8="AUD_99",J8="PLN_99"),MAX(0.49,ROUND(I8,0)-0.01),
IF(J8="MXN_00",ROUND(I8,0),IF(J8="THB_00",ROUND(I8,0),ROUND(I8,2)))))))))))</x:f>
        <x:v>9000</x:v>
      </x:c>
      <x:c r="L8" s="38" t="n">
        <x:f>K8/H8</x:f>
        <x:v>0.5806451612903226</x:v>
      </x:c>
      <x:c r="M8" s="37" t="str">
        <x:f>IF(L8&lt;Dashboard!$B$4,"Below global min",IF(AND(C8&gt;=0.8,L8&lt;Dashboard!$B$5),"Raise high-PPP floor","OK"))</x:f>
        <x:v>OK</x:v>
      </x:c>
      <x:c r="N8" s="48" t="str">
        <x:v>=GOOGLEFINANCE("CURRENCY:USDIDR")</x:v>
      </x:c>
      <x:c r="O8" s="37" t="str"/>
    </x:row>
    <x:row r="9">
      <x:c r="A9" s="37" t="str">
        <x:v>Mexico</x:v>
      </x:c>
      <x:c r="B9" s="37" t="str">
        <x:v>MXN</x:v>
      </x:c>
      <x:c r="C9" s="42" t="n">
        <x:v>0.45</x:v>
      </x:c>
      <x:c r="D9" s="37" t="str">
        <x:f>IF(C9&gt;=0.8,"A",IF(C9&gt;=0.6,"B",IF(C9&gt;=0.4,"C",IF(C9&gt;=0.2,"D","E"))))</x:f>
        <x:v>C</x:v>
      </x:c>
      <x:c r="E9" s="38" t="n">
        <x:f>Dashboard!$B$3</x:f>
        <x:v>2.99</x:v>
      </x:c>
      <x:c r="F9" s="38" t="n">
        <x:f>MAX(Dashboard!$B$4,E9*C9)</x:f>
        <x:v>1.3455000000000001</x:v>
      </x:c>
      <x:c r="G9" s="42" t="n">
        <x:v>0.9</x:v>
      </x:c>
      <x:c r="H9" s="42" t="n">
        <x:v>17</x:v>
      </x:c>
      <x:c r="I9" s="38" t="n">
        <x:f>F9*G9*H9</x:f>
        <x:v>20.586150000000004</x:v>
      </x:c>
      <x:c r="J9" s="37" t="str">
        <x:v>MXN_00</x:v>
      </x:c>
      <x:c r="K9" s="38" t="n">
        <x:f>IF(J9="TRY_TIERS",IF(I9&lt;25,19,IF(I9&lt;35,29,IF(I9&lt;45,39,IF(I9&lt;60,49,79)))),
IF(J9="INR_TIERS",IF(I9&lt;40,29,IF(I9&lt;70,49,99)),
IF(J9="BRL_90",IF(I9&lt;3,2.9,IF(I9&lt;6,4.9,IF(I9&lt;10,6.9,9.9))),
IF(J9="IDR_000",ROUND(I9/1000,0)*1000,
IF(J9="JPY_00",ROUND(I9/100,0)*100,
IF(J9="KRW_000",ROUND(I9/1000,0)*1000,
IF(J9="VND_000",ROUND(I9/1000,0)*1000,
IF(OR(J9="USD_99",J9="EUR_99",J9="GBP_99",J9="CAD_99",J9="AUD_99",J9="PLN_99"),MAX(0.49,ROUND(I9,0)-0.01),
IF(J9="MXN_00",ROUND(I9,0),IF(J9="THB_00",ROUND(I9,0),ROUND(I9,2)))))))))))</x:f>
        <x:v>21</x:v>
      </x:c>
      <x:c r="L9" s="38" t="n">
        <x:f>K9/H9</x:f>
        <x:v>1.2352941176470589</x:v>
      </x:c>
      <x:c r="M9" s="37" t="str">
        <x:f>IF(L9&lt;Dashboard!$B$4,"Below global min",IF(AND(C9&gt;=0.8,L9&lt;Dashboard!$B$5),"Raise high-PPP floor","OK"))</x:f>
        <x:v>OK</x:v>
      </x:c>
      <x:c r="N9" s="48" t="str">
        <x:v>=GOOGLEFINANCE("CURRENCY:USDMXN")</x:v>
      </x:c>
      <x:c r="O9" s="37" t="str"/>
    </x:row>
    <x:row r="10">
      <x:c r="A10" s="37" t="str">
        <x:v>Japan</x:v>
      </x:c>
      <x:c r="B10" s="37" t="str">
        <x:v>JPY</x:v>
      </x:c>
      <x:c r="C10" s="42" t="n">
        <x:v>0.75</x:v>
      </x:c>
      <x:c r="D10" s="37" t="str">
        <x:f>IF(C10&gt;=0.8,"A",IF(C10&gt;=0.6,"B",IF(C10&gt;=0.4,"C",IF(C10&gt;=0.2,"D","E"))))</x:f>
        <x:v>B</x:v>
      </x:c>
      <x:c r="E10" s="38" t="n">
        <x:f>Dashboard!$B$3</x:f>
        <x:v>2.99</x:v>
      </x:c>
      <x:c r="F10" s="38" t="n">
        <x:f>MAX(Dashboard!$B$4,E10*C10)</x:f>
        <x:v>2.2425</x:v>
      </x:c>
      <x:c r="G10" s="42" t="n">
        <x:v>1</x:v>
      </x:c>
      <x:c r="H10" s="42" t="n">
        <x:v>150</x:v>
      </x:c>
      <x:c r="I10" s="38" t="n">
        <x:f>F10*G10*H10</x:f>
        <x:v>336.375</x:v>
      </x:c>
      <x:c r="J10" s="37" t="str">
        <x:v>JPY_00</x:v>
      </x:c>
      <x:c r="K10" s="38" t="n">
        <x:f>IF(J10="TRY_TIERS",IF(I10&lt;25,19,IF(I10&lt;35,29,IF(I10&lt;45,39,IF(I10&lt;60,49,79)))),
IF(J10="INR_TIERS",IF(I10&lt;40,29,IF(I10&lt;70,49,99)),
IF(J10="BRL_90",IF(I10&lt;3,2.9,IF(I10&lt;6,4.9,IF(I10&lt;10,6.9,9.9))),
IF(J10="IDR_000",ROUND(I10/1000,0)*1000,
IF(J10="JPY_00",ROUND(I10/100,0)*100,
IF(J10="KRW_000",ROUND(I10/1000,0)*1000,
IF(J10="VND_000",ROUND(I10/1000,0)*1000,
IF(OR(J10="USD_99",J10="EUR_99",J10="GBP_99",J10="CAD_99",J10="AUD_99",J10="PLN_99"),MAX(0.49,ROUND(I10,0)-0.01),
IF(J10="MXN_00",ROUND(I10,0),IF(J10="THB_00",ROUND(I10,0),ROUND(I10,2)))))))))))</x:f>
        <x:v>300</x:v>
      </x:c>
      <x:c r="L10" s="38" t="n">
        <x:f>K10/H10</x:f>
        <x:v>2</x:v>
      </x:c>
      <x:c r="M10" s="37" t="str">
        <x:f>IF(L10&lt;Dashboard!$B$4,"Below global min",IF(AND(C10&gt;=0.8,L10&lt;Dashboard!$B$5),"Raise high-PPP floor","OK"))</x:f>
        <x:v>OK</x:v>
      </x:c>
      <x:c r="N10" s="48" t="str">
        <x:v>=GOOGLEFINANCE("CURRENCY:USDJPY")</x:v>
      </x:c>
      <x:c r="O10" s="37" t="str"/>
    </x:row>
    <x:row r="11">
      <x:c r="A11" s="37" t="str">
        <x:v>South Korea</x:v>
      </x:c>
      <x:c r="B11" s="37" t="str">
        <x:v>KRW</x:v>
      </x:c>
      <x:c r="C11" s="42" t="n">
        <x:v>0.7</x:v>
      </x:c>
      <x:c r="D11" s="37" t="str">
        <x:f>IF(C11&gt;=0.8,"A",IF(C11&gt;=0.6,"B",IF(C11&gt;=0.4,"C",IF(C11&gt;=0.2,"D","E"))))</x:f>
        <x:v>B</x:v>
      </x:c>
      <x:c r="E11" s="38" t="n">
        <x:f>Dashboard!$B$3</x:f>
        <x:v>2.99</x:v>
      </x:c>
      <x:c r="F11" s="38" t="n">
        <x:f>MAX(Dashboard!$B$4,E11*C11)</x:f>
        <x:v>2.093</x:v>
      </x:c>
      <x:c r="G11" s="42" t="n">
        <x:v>1</x:v>
      </x:c>
      <x:c r="H11" s="42" t="n">
        <x:v>1350</x:v>
      </x:c>
      <x:c r="I11" s="38" t="n">
        <x:f>F11*G11*H11</x:f>
        <x:v>2825.55</x:v>
      </x:c>
      <x:c r="J11" s="37" t="str">
        <x:v>KRW_000</x:v>
      </x:c>
      <x:c r="K11" s="38" t="n">
        <x:f>IF(J11="TRY_TIERS",IF(I11&lt;25,19,IF(I11&lt;35,29,IF(I11&lt;45,39,IF(I11&lt;60,49,79)))),
IF(J11="INR_TIERS",IF(I11&lt;40,29,IF(I11&lt;70,49,99)),
IF(J11="BRL_90",IF(I11&lt;3,2.9,IF(I11&lt;6,4.9,IF(I11&lt;10,6.9,9.9))),
IF(J11="IDR_000",ROUND(I11/1000,0)*1000,
IF(J11="JPY_00",ROUND(I11/100,0)*100,
IF(J11="KRW_000",ROUND(I11/1000,0)*1000,
IF(J11="VND_000",ROUND(I11/1000,0)*1000,
IF(OR(J11="USD_99",J11="EUR_99",J11="GBP_99",J11="CAD_99",J11="AUD_99",J11="PLN_99"),MAX(0.49,ROUND(I11,0)-0.01),
IF(J11="MXN_00",ROUND(I11,0),IF(J11="THB_00",ROUND(I11,0),ROUND(I11,2)))))))))))</x:f>
        <x:v>3000</x:v>
      </x:c>
      <x:c r="L11" s="38" t="n">
        <x:f>K11/H11</x:f>
        <x:v>2.2222222222222223</x:v>
      </x:c>
      <x:c r="M11" s="37" t="str">
        <x:f>IF(L11&lt;Dashboard!$B$4,"Below global min",IF(AND(C11&gt;=0.8,L11&lt;Dashboard!$B$5),"Raise high-PPP floor","OK"))</x:f>
        <x:v>OK</x:v>
      </x:c>
      <x:c r="N11" s="48" t="str">
        <x:v>=GOOGLEFINANCE("CURRENCY:USDKRW")</x:v>
      </x:c>
      <x:c r="O11" s="37" t="str"/>
    </x:row>
    <x:row r="12">
      <x:c r="A12" s="37" t="str">
        <x:v>Canada</x:v>
      </x:c>
      <x:c r="B12" s="37" t="str">
        <x:v>CAD</x:v>
      </x:c>
      <x:c r="C12" s="42" t="n">
        <x:v>0.85</x:v>
      </x:c>
      <x:c r="D12" s="37" t="str">
        <x:f>IF(C12&gt;=0.8,"A",IF(C12&gt;=0.6,"B",IF(C12&gt;=0.4,"C",IF(C12&gt;=0.2,"D","E"))))</x:f>
        <x:v>A</x:v>
      </x:c>
      <x:c r="E12" s="38" t="n">
        <x:f>Dashboard!$B$3</x:f>
        <x:v>2.99</x:v>
      </x:c>
      <x:c r="F12" s="38" t="n">
        <x:f>MAX(Dashboard!$B$4,E12*C12)</x:f>
        <x:v>2.5415</x:v>
      </x:c>
      <x:c r="G12" s="42" t="n">
        <x:v>1</x:v>
      </x:c>
      <x:c r="H12" s="42" t="n">
        <x:v>1.35</x:v>
      </x:c>
      <x:c r="I12" s="38" t="n">
        <x:f>F12*G12*H12</x:f>
        <x:v>3.4310250000000004</x:v>
      </x:c>
      <x:c r="J12" s="37" t="str">
        <x:v>CAD_99</x:v>
      </x:c>
      <x:c r="K12" s="38" t="n">
        <x:f>IF(J12="TRY_TIERS",IF(I12&lt;25,19,IF(I12&lt;35,29,IF(I12&lt;45,39,IF(I12&lt;60,49,79)))),
IF(J12="INR_TIERS",IF(I12&lt;40,29,IF(I12&lt;70,49,99)),
IF(J12="BRL_90",IF(I12&lt;3,2.9,IF(I12&lt;6,4.9,IF(I12&lt;10,6.9,9.9))),
IF(J12="IDR_000",ROUND(I12/1000,0)*1000,
IF(J12="JPY_00",ROUND(I12/100,0)*100,
IF(J12="KRW_000",ROUND(I12/1000,0)*1000,
IF(J12="VND_000",ROUND(I12/1000,0)*1000,
IF(OR(J12="USD_99",J12="EUR_99",J12="GBP_99",J12="CAD_99",J12="AUD_99",J12="PLN_99"),MAX(0.49,ROUND(I12,0)-0.01),
IF(J12="MXN_00",ROUND(I12,0),IF(J12="THB_00",ROUND(I12,0),ROUND(I12,2)))))))))))</x:f>
        <x:v>2.99</x:v>
      </x:c>
      <x:c r="L12" s="38" t="n">
        <x:f>K12/H12</x:f>
        <x:v>2.214814814814815</x:v>
      </x:c>
      <x:c r="M12" s="37" t="str">
        <x:f>IF(L12&lt;Dashboard!$B$4,"Below global min",IF(AND(C12&gt;=0.8,L12&lt;Dashboard!$B$5),"Raise high-PPP floor","OK"))</x:f>
        <x:v>OK</x:v>
      </x:c>
      <x:c r="N12" s="48" t="str">
        <x:v>=GOOGLEFINANCE("CURRENCY:USDCAD")</x:v>
      </x:c>
      <x:c r="O12" s="37" t="str"/>
    </x:row>
    <x:row r="13">
      <x:c r="A13" s="37" t="str">
        <x:v>Australia</x:v>
      </x:c>
      <x:c r="B13" s="37" t="str">
        <x:v>AUD</x:v>
      </x:c>
      <x:c r="C13" s="42" t="n">
        <x:v>0.82</x:v>
      </x:c>
      <x:c r="D13" s="37" t="str">
        <x:f>IF(C13&gt;=0.8,"A",IF(C13&gt;=0.6,"B",IF(C13&gt;=0.4,"C",IF(C13&gt;=0.2,"D","E"))))</x:f>
        <x:v>A</x:v>
      </x:c>
      <x:c r="E13" s="38" t="n">
        <x:f>Dashboard!$B$3</x:f>
        <x:v>2.99</x:v>
      </x:c>
      <x:c r="F13" s="38" t="n">
        <x:f>MAX(Dashboard!$B$4,E13*C13)</x:f>
        <x:v>2.4518</x:v>
      </x:c>
      <x:c r="G13" s="42" t="n">
        <x:v>1</x:v>
      </x:c>
      <x:c r="H13" s="42" t="n">
        <x:v>1.5</x:v>
      </x:c>
      <x:c r="I13" s="38" t="n">
        <x:f>F13*G13*H13</x:f>
        <x:v>3.6776999999999997</x:v>
      </x:c>
      <x:c r="J13" s="37" t="str">
        <x:v>AUD_99</x:v>
      </x:c>
      <x:c r="K13" s="38" t="n">
        <x:f>IF(J13="TRY_TIERS",IF(I13&lt;25,19,IF(I13&lt;35,29,IF(I13&lt;45,39,IF(I13&lt;60,49,79)))),
IF(J13="INR_TIERS",IF(I13&lt;40,29,IF(I13&lt;70,49,99)),
IF(J13="BRL_90",IF(I13&lt;3,2.9,IF(I13&lt;6,4.9,IF(I13&lt;10,6.9,9.9))),
IF(J13="IDR_000",ROUND(I13/1000,0)*1000,
IF(J13="JPY_00",ROUND(I13/100,0)*100,
IF(J13="KRW_000",ROUND(I13/1000,0)*1000,
IF(J13="VND_000",ROUND(I13/1000,0)*1000,
IF(OR(J13="USD_99",J13="EUR_99",J13="GBP_99",J13="CAD_99",J13="AUD_99",J13="PLN_99"),MAX(0.49,ROUND(I13,0)-0.01),
IF(J13="MXN_00",ROUND(I13,0),IF(J13="THB_00",ROUND(I13,0),ROUND(I13,2)))))))))))</x:f>
        <x:v>3.99</x:v>
      </x:c>
      <x:c r="L13" s="38" t="n">
        <x:f>K13/H13</x:f>
        <x:v>2.66</x:v>
      </x:c>
      <x:c r="M13" s="37" t="str">
        <x:f>IF(L13&lt;Dashboard!$B$4,"Below global min",IF(AND(C13&gt;=0.8,L13&lt;Dashboard!$B$5),"Raise high-PPP floor","OK"))</x:f>
        <x:v>OK</x:v>
      </x:c>
      <x:c r="N13" s="48" t="str">
        <x:v>=GOOGLEFINANCE("CURRENCY:USDAUD")</x:v>
      </x:c>
      <x:c r="O13" s="37" t="str"/>
    </x:row>
    <x:row r="14">
      <x:c r="A14" s="37" t="str">
        <x:v>Poland</x:v>
      </x:c>
      <x:c r="B14" s="37" t="str">
        <x:v>PLN</x:v>
      </x:c>
      <x:c r="C14" s="42" t="n">
        <x:v>0.55</x:v>
      </x:c>
      <x:c r="D14" s="37" t="str">
        <x:f>IF(C14&gt;=0.8,"A",IF(C14&gt;=0.6,"B",IF(C14&gt;=0.4,"C",IF(C14&gt;=0.2,"D","E"))))</x:f>
        <x:v>C</x:v>
      </x:c>
      <x:c r="E14" s="38" t="n">
        <x:f>Dashboard!$B$3</x:f>
        <x:v>2.99</x:v>
      </x:c>
      <x:c r="F14" s="38" t="n">
        <x:f>MAX(Dashboard!$B$4,E14*C14)</x:f>
        <x:v>1.6445000000000003</x:v>
      </x:c>
      <x:c r="G14" s="42" t="n">
        <x:v>0.95</x:v>
      </x:c>
      <x:c r="H14" s="42" t="n">
        <x:v>4</x:v>
      </x:c>
      <x:c r="I14" s="38" t="n">
        <x:f>F14*G14*H14</x:f>
        <x:v>6.249100000000001</x:v>
      </x:c>
      <x:c r="J14" s="37" t="str">
        <x:v>PLN_99</x:v>
      </x:c>
      <x:c r="K14" s="38" t="n">
        <x:f>IF(J14="TRY_TIERS",IF(I14&lt;25,19,IF(I14&lt;35,29,IF(I14&lt;45,39,IF(I14&lt;60,49,79)))),
IF(J14="INR_TIERS",IF(I14&lt;40,29,IF(I14&lt;70,49,99)),
IF(J14="BRL_90",IF(I14&lt;3,2.9,IF(I14&lt;6,4.9,IF(I14&lt;10,6.9,9.9))),
IF(J14="IDR_000",ROUND(I14/1000,0)*1000,
IF(J14="JPY_00",ROUND(I14/100,0)*100,
IF(J14="KRW_000",ROUND(I14/1000,0)*1000,
IF(J14="VND_000",ROUND(I14/1000,0)*1000,
IF(OR(J14="USD_99",J14="EUR_99",J14="GBP_99",J14="CAD_99",J14="AUD_99",J14="PLN_99"),MAX(0.49,ROUND(I14,0)-0.01),
IF(J14="MXN_00",ROUND(I14,0),IF(J14="THB_00",ROUND(I14,0),ROUND(I14,2)))))))))))</x:f>
        <x:v>5.99</x:v>
      </x:c>
      <x:c r="L14" s="38" t="n">
        <x:f>K14/H14</x:f>
        <x:v>1.4975</x:v>
      </x:c>
      <x:c r="M14" s="37" t="str">
        <x:f>IF(L14&lt;Dashboard!$B$4,"Below global min",IF(AND(C14&gt;=0.8,L14&lt;Dashboard!$B$5),"Raise high-PPP floor","OK"))</x:f>
        <x:v>OK</x:v>
      </x:c>
      <x:c r="N14" s="48" t="str">
        <x:v>=GOOGLEFINANCE("CURRENCY:USDPLN")</x:v>
      </x:c>
      <x:c r="O14" s="37" t="str"/>
    </x:row>
    <x:row r="15">
      <x:c r="A15" s="37" t="str">
        <x:v>Vietnam</x:v>
      </x:c>
      <x:c r="B15" s="37" t="str">
        <x:v>VND</x:v>
      </x:c>
      <x:c r="C15" s="42" t="n">
        <x:v>0.18</x:v>
      </x:c>
      <x:c r="D15" s="37" t="str">
        <x:f>IF(C15&gt;=0.8,"A",IF(C15&gt;=0.6,"B",IF(C15&gt;=0.4,"C",IF(C15&gt;=0.2,"D","E"))))</x:f>
        <x:v>E</x:v>
      </x:c>
      <x:c r="E15" s="38" t="n">
        <x:f>Dashboard!$B$3</x:f>
        <x:v>2.99</x:v>
      </x:c>
      <x:c r="F15" s="38" t="n">
        <x:f>MAX(Dashboard!$B$4,E15*C15)</x:f>
        <x:v>0.5382</x:v>
      </x:c>
      <x:c r="G15" s="42" t="n">
        <x:v>0.75</x:v>
      </x:c>
      <x:c r="H15" s="42" t="n">
        <x:v>24500</x:v>
      </x:c>
      <x:c r="I15" s="38" t="n">
        <x:f>F15*G15*H15</x:f>
        <x:v>9889.425000000001</x:v>
      </x:c>
      <x:c r="J15" s="37" t="str">
        <x:v>VND_000</x:v>
      </x:c>
      <x:c r="K15" s="38" t="n">
        <x:f>IF(J15="TRY_TIERS",IF(I15&lt;25,19,IF(I15&lt;35,29,IF(I15&lt;45,39,IF(I15&lt;60,49,79)))),
IF(J15="INR_TIERS",IF(I15&lt;40,29,IF(I15&lt;70,49,99)),
IF(J15="BRL_90",IF(I15&lt;3,2.9,IF(I15&lt;6,4.9,IF(I15&lt;10,6.9,9.9))),
IF(J15="IDR_000",ROUND(I15/1000,0)*1000,
IF(J15="JPY_00",ROUND(I15/100,0)*100,
IF(J15="KRW_000",ROUND(I15/1000,0)*1000,
IF(J15="VND_000",ROUND(I15/1000,0)*1000,
IF(OR(J15="USD_99",J15="EUR_99",J15="GBP_99",J15="CAD_99",J15="AUD_99",J15="PLN_99"),MAX(0.49,ROUND(I15,0)-0.01),
IF(J15="MXN_00",ROUND(I15,0),IF(J15="THB_00",ROUND(I15,0),ROUND(I15,2)))))))))))</x:f>
        <x:v>10000</x:v>
      </x:c>
      <x:c r="L15" s="38" t="n">
        <x:f>K15/H15</x:f>
        <x:v>0.40816326530612246</x:v>
      </x:c>
      <x:c r="M15" s="37" t="str">
        <x:f>IF(L15&lt;Dashboard!$B$4,"Below global min",IF(AND(C15&gt;=0.8,L15&lt;Dashboard!$B$5),"Raise high-PPP floor","OK"))</x:f>
        <x:v>Below global min</x:v>
      </x:c>
      <x:c r="N15" s="48" t="str">
        <x:v>=GOOGLEFINANCE("CURRENCY:USDVND")</x:v>
      </x:c>
      <x:c r="O15" s="37" t="str"/>
    </x:row>
    <x:row r="16">
      <x:c r="A16" s="37" t="str">
        <x:v>Thailand</x:v>
      </x:c>
      <x:c r="B16" s="37" t="str">
        <x:v>THB</x:v>
      </x:c>
      <x:c r="C16" s="42" t="n">
        <x:v>0.32</x:v>
      </x:c>
      <x:c r="D16" s="37" t="str">
        <x:f>IF(C16&gt;=0.8,"A",IF(C16&gt;=0.6,"B",IF(C16&gt;=0.4,"C",IF(C16&gt;=0.2,"D","E"))))</x:f>
        <x:v>D</x:v>
      </x:c>
      <x:c r="E16" s="38" t="n">
        <x:f>Dashboard!$B$3</x:f>
        <x:v>2.99</x:v>
      </x:c>
      <x:c r="F16" s="38" t="n">
        <x:f>MAX(Dashboard!$B$4,E16*C16)</x:f>
        <x:v>0.9568000000000001</x:v>
      </x:c>
      <x:c r="G16" s="42" t="n">
        <x:v>0.85</x:v>
      </x:c>
      <x:c r="H16" s="42" t="n">
        <x:v>36</x:v>
      </x:c>
      <x:c r="I16" s="38" t="n">
        <x:f>F16*G16*H16</x:f>
        <x:v>29.278080000000003</x:v>
      </x:c>
      <x:c r="J16" s="37" t="str">
        <x:v>THB_00</x:v>
      </x:c>
      <x:c r="K16" s="38" t="n">
        <x:f>IF(J16="TRY_TIERS",IF(I16&lt;25,19,IF(I16&lt;35,29,IF(I16&lt;45,39,IF(I16&lt;60,49,79)))),
IF(J16="INR_TIERS",IF(I16&lt;40,29,IF(I16&lt;70,49,99)),
IF(J16="BRL_90",IF(I16&lt;3,2.9,IF(I16&lt;6,4.9,IF(I16&lt;10,6.9,9.9))),
IF(J16="IDR_000",ROUND(I16/1000,0)*1000,
IF(J16="JPY_00",ROUND(I16/100,0)*100,
IF(J16="KRW_000",ROUND(I16/1000,0)*1000,
IF(J16="VND_000",ROUND(I16/1000,0)*1000,
IF(OR(J16="USD_99",J16="EUR_99",J16="GBP_99",J16="CAD_99",J16="AUD_99",J16="PLN_99"),MAX(0.49,ROUND(I16,0)-0.01),
IF(J16="MXN_00",ROUND(I16,0),IF(J16="THB_00",ROUND(I16,0),ROUND(I16,2)))))))))))</x:f>
        <x:v>29</x:v>
      </x:c>
      <x:c r="L16" s="38" t="n">
        <x:f>K16/H16</x:f>
        <x:v>0.8055555555555556</x:v>
      </x:c>
      <x:c r="M16" s="37" t="str">
        <x:f>IF(L16&lt;Dashboard!$B$4,"Below global min",IF(AND(C16&gt;=0.8,L16&lt;Dashboard!$B$5),"Raise high-PPP floor","OK"))</x:f>
        <x:v>OK</x:v>
      </x:c>
      <x:c r="N16" s="48" t="str">
        <x:v>=GOOGLEFINANCE("CURRENCY:USDTHB")</x:v>
      </x:c>
      <x:c r="O16" s="37" t="str"/>
    </x:row>
  </x:sheetData>
  <x:conditionalFormatting sqref="C2:C16">
    <x:cfRule type="colorScale" priority="1">
      <x:colorScale>
        <x:cfvo type="min"/>
        <x:cfvo type="percentile" val="50"/>
        <x:cfvo type="max"/>
        <x:color rgb="FEE2E2"/>
        <x:color rgb="FEF3C7"/>
        <x:color rgb="DCFCE7"/>
      </x:colorScale>
    </x:cfRule>
  </x:conditionalFormatting>
  <x:conditionalFormatting sqref="M2:M16">
    <x:cfRule type="expression" dxfId="0" priority="2">
      <x:formula>$M2&lt;&gt;"OK"</x:formula>
    </x:cfRule>
  </x:conditionalFormatting>
  <x:dataValidations count="1">
    <x:dataValidation type="list" sqref="J2:J100">
      <x:formula1>"USD_99,EUR_99,GBP_99,CAD_99,AUD_99,PLN_99,TRY_TIERS,INR_TIERS,BRL_90,IDR_000,JPY_00,KRW_000,VND_000,MXN_00,THB_00"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2c4daee13d4e5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30" hidden="0" customWidth="1"/>
    <x:col min="4" max="4" width="30" hidden="0" customWidth="1"/>
    <x:col min="5" max="5" width="30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</x:cols>
  <x:sheetData>
    <x:row r="1">
      <x:c r="A1" s="45" t="str">
        <x:v>Rounding Rules / Editable Playbook</x:v>
      </x:c>
    </x:row>
    <x:row r="3">
      <x:c r="A3" s="25" t="str">
        <x:v>Group</x:v>
      </x:c>
      <x:c r="B3" s="25" t="str">
        <x:v>Currency</x:v>
      </x:c>
      <x:c r="C3" s="25" t="str">
        <x:v>Logic</x:v>
      </x:c>
      <x:c r="D3" s="25" t="str">
        <x:v>Suggested Tiers</x:v>
      </x:c>
      <x:c r="E3" s="25" t="str">
        <x:v>Edit Note</x:v>
      </x:c>
    </x:row>
    <x:row r="4">
      <x:c r="A4" s="37" t="str">
        <x:v>USD_99</x:v>
      </x:c>
      <x:c r="B4" s="37" t="str">
        <x:v>USD</x:v>
      </x:c>
      <x:c r="C4" s="37" t="str">
        <x:v>Round to x.99</x:v>
      </x:c>
      <x:c r="D4" s="37" t="str">
        <x:v>0.99 / 1.99 / 2.99 / 3.99 / 4.99</x:v>
      </x:c>
      <x:c r="E4" s="37" t="str">
        <x:v>Good for US-style pricing</x:v>
      </x:c>
    </x:row>
    <x:row r="5">
      <x:c r="A5" s="37" t="str">
        <x:v>EUR_99</x:v>
      </x:c>
      <x:c r="B5" s="37" t="str">
        <x:v>EUR</x:v>
      </x:c>
      <x:c r="C5" s="37" t="str">
        <x:v>Round to x.99</x:v>
      </x:c>
      <x:c r="D5" s="37" t="str">
        <x:v>0.99 / 1.99 / 2.99 / 3.99 / 4.99</x:v>
      </x:c>
      <x:c r="E5" s="37" t="str">
        <x:v>EU premium-friendly</x:v>
      </x:c>
    </x:row>
    <x:row r="6">
      <x:c r="A6" s="37" t="str">
        <x:v>TRY_TIERS</x:v>
      </x:c>
      <x:c r="B6" s="37" t="str">
        <x:v>TRY</x:v>
      </x:c>
      <x:c r="C6" s="37" t="str">
        <x:v>Fixed tier bucket</x:v>
      </x:c>
      <x:c r="D6" s="37" t="str">
        <x:v>19 / 29 / 39 / 49 / 79</x:v>
      </x:c>
      <x:c r="E6" s="37" t="str">
        <x:v>Test 29 vs 39 for conversion/revenue</x:v>
      </x:c>
    </x:row>
    <x:row r="7">
      <x:c r="A7" s="37" t="str">
        <x:v>INR_TIERS</x:v>
      </x:c>
      <x:c r="B7" s="37" t="str">
        <x:v>INR</x:v>
      </x:c>
      <x:c r="C7" s="37" t="str">
        <x:v>Fixed tier bucket</x:v>
      </x:c>
      <x:c r="D7" s="37" t="str">
        <x:v>29 / 49 / 99</x:v>
      </x:c>
      <x:c r="E7" s="37" t="str">
        <x:v>Volume market</x:v>
      </x:c>
    </x:row>
    <x:row r="8">
      <x:c r="A8" s="37" t="str">
        <x:v>BRL_90</x:v>
      </x:c>
      <x:c r="B8" s="37" t="str">
        <x:v>BRL</x:v>
      </x:c>
      <x:c r="C8" s="37" t="str">
        <x:v>Round to x.90</x:v>
      </x:c>
      <x:c r="D8" s="37" t="str">
        <x:v>2.90 / 4.90 / 6.90 / 9.90</x:v>
      </x:c>
      <x:c r="E8" s="37" t="str"/>
    </x:row>
    <x:row r="9">
      <x:c r="A9" s="37" t="str">
        <x:v>IDR_000</x:v>
      </x:c>
      <x:c r="B9" s="37" t="str">
        <x:v>IDR</x:v>
      </x:c>
      <x:c r="C9" s="37" t="str">
        <x:v>Nearest 1,000</x:v>
      </x:c>
      <x:c r="D9" s="37" t="str">
        <x:v>9,000 / 15,000 / 29,000</x:v>
      </x:c>
      <x:c r="E9" s="37" t="str"/>
    </x:row>
    <x:row r="10">
      <x:c r="A10" s="37" t="str">
        <x:v>JPY_00</x:v>
      </x:c>
      <x:c r="B10" s="37" t="str">
        <x:v>JPY</x:v>
      </x:c>
      <x:c r="C10" s="37" t="str">
        <x:v>Nearest 100</x:v>
      </x:c>
      <x:c r="D10" s="37" t="str">
        <x:v>100 / 200 / 300 / 500</x:v>
      </x:c>
      <x:c r="E10" s="37" t="str"/>
    </x:row>
    <x:row r="11">
      <x:c r="A11" s="37" t="str">
        <x:v>KRW_000</x:v>
      </x:c>
      <x:c r="B11" s="37" t="str">
        <x:v>KRW</x:v>
      </x:c>
      <x:c r="C11" s="37" t="str">
        <x:v>Nearest 1,000</x:v>
      </x:c>
      <x:c r="D11" s="37" t="str">
        <x:v>1,000 / 2,000 / 3,000 / 5,000</x:v>
      </x:c>
      <x:c r="E11" s="37" t="str"/>
    </x:row>
    <x:row r="12">
      <x:c r="A12" s="37" t="str">
        <x:v>VND_000</x:v>
      </x:c>
      <x:c r="B12" s="37" t="str">
        <x:v>VND</x:v>
      </x:c>
      <x:c r="C12" s="37" t="str">
        <x:v>Nearest 1,000</x:v>
      </x:c>
      <x:c r="D12" s="37" t="str">
        <x:v>10,000 / 20,000 / 30,000</x:v>
      </x:c>
      <x:c r="E12" s="37" t="str"/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58ef6a108199445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36" hidden="0" customWidth="1"/>
    <x:col min="4" max="4" width="36" hidden="0" customWidth="1"/>
    <x:col min="5" max="5" width="3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</x:cols>
  <x:sheetData>
    <x:row r="1">
      <x:c r="A1" s="45" t="str">
        <x:v>Source Notes / References</x:v>
      </x:c>
    </x:row>
    <x:row r="3">
      <x:c r="A3" s="25" t="str">
        <x:v>Input</x:v>
      </x:c>
      <x:c r="B3" s="25" t="str">
        <x:v>Purpose</x:v>
      </x:c>
      <x:c r="C3" s="25" t="str">
        <x:v>Source / URL</x:v>
      </x:c>
      <x:c r="D3" s="25" t="str">
        <x:v>Refresh Cadence</x:v>
      </x:c>
      <x:c r="E3" s="25" t="str">
        <x:v>Notes</x:v>
      </x:c>
    </x:row>
    <x:row r="4">
      <x:c r="A4" s="37" t="str">
        <x:v>PPP factor</x:v>
      </x:c>
      <x:c r="B4" s="37" t="str">
        <x:v>Relative local affordability input</x:v>
      </x:c>
      <x:c r="C4" s="37" t="str">
        <x:v>https://data.worldbank.org/indicator/PA.NUS.PPP</x:v>
      </x:c>
      <x:c r="D4" s="37" t="str">
        <x:v>Quarterly or before price updates</x:v>
      </x:c>
      <x:c r="E4" s="37" t="str">
        <x:v>Template values are starter estimates; replace with your chosen normalized PPP factors.</x:v>
      </x:c>
    </x:row>
    <x:row r="5">
      <x:c r="A5" s="37" t="str">
        <x:v>FX rate</x:v>
      </x:c>
      <x:c r="B5" s="37" t="str">
        <x:v>Convert USD to local currency</x:v>
      </x:c>
      <x:c r="C5" s="37" t="str">
        <x:v>https://www.google.com/finance/</x:v>
      </x:c>
      <x:c r="D5" s="37" t="str">
        <x:v>Before Play Console update</x:v>
      </x:c>
      <x:c r="E5" s="37" t="str">
        <x:v>In Google Sheets, use GOOGLEFINANCE formulas copied from PricingModel column N.</x:v>
      </x:c>
    </x:row>
    <x:row r="6">
      <x:c r="A6" s="37" t="str">
        <x:v>Google Play pricing</x:v>
      </x:c>
      <x:c r="B6" s="37" t="str">
        <x:v>Check supported local prices and taxes</x:v>
      </x:c>
      <x:c r="C6" s="37" t="str">
        <x:v>https://support.google.com/googleplay/android-developer/</x:v>
      </x:c>
      <x:c r="D6" s="37" t="str">
        <x:v>Before launch and major updates</x:v>
      </x:c>
      <x:c r="E6" s="37" t="str">
        <x:v>Play Console final local prices may differ due to tax/minimum price constraints.</x:v>
      </x:c>
    </x:row>
    <x:row r="7">
      <x:c r="A7" s="37" t="str">
        <x:v>Competitor pricing</x:v>
      </x:c>
      <x:c r="B7" s="37" t="str">
        <x:v>Market adjustment sanity check</x:v>
      </x:c>
      <x:c r="C7" s="37" t="str">
        <x:v>Manual Play Store research</x:v>
      </x:c>
      <x:c r="D7" s="37" t="str">
        <x:v>Before launch</x:v>
      </x:c>
      <x:c r="E7" s="37" t="str">
        <x:v>Use Market Adj column to shift price after checking similar apps.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743f43fb232b490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>
      <x:c r="A1" s="61" t="str">
        <x:v>Date</x:v>
      </x:c>
      <x:c r="B1" s="61" t="str">
        <x:v>App</x:v>
      </x:c>
      <x:c r="C1" s="61" t="str">
        <x:v>Country</x:v>
      </x:c>
      <x:c r="D1" s="61" t="str">
        <x:v>Variant</x:v>
      </x:c>
      <x:c r="E1" s="61" t="str">
        <x:v>Price</x:v>
      </x:c>
      <x:c r="F1" s="61" t="str">
        <x:v>Currency</x:v>
      </x:c>
      <x:c r="G1" s="61" t="str">
        <x:v>Impressions</x:v>
      </x:c>
      <x:c r="H1" s="61" t="str">
        <x:v>Purchases</x:v>
      </x:c>
      <x:c r="I1" s="61" t="str">
        <x:v>Conversion</x:v>
      </x:c>
      <x:c r="J1" s="61" t="str">
        <x:v>Revenue</x:v>
      </x:c>
      <x:c r="K1" s="61" t="str">
        <x:v>ARPU</x:v>
      </x:c>
      <x:c r="L1" s="61" t="str">
        <x:v>Winner Note</x:v>
      </x:c>
      <x:c r="M1" s="50"/>
      <x:c r="N1" s="50"/>
      <x:c r="O1" s="50"/>
      <x:c r="P1" s="50"/>
      <x:c r="Q1" s="50"/>
      <x:c r="R1" s="50"/>
      <x:c r="S1" s="50"/>
      <x:c r="T1" s="50"/>
      <x:c r="U1" s="50"/>
      <x:c r="V1" s="50"/>
      <x:c r="W1" s="50"/>
      <x:c r="X1" s="50"/>
      <x:c r="Y1" s="50"/>
      <x:c r="Z1" s="50"/>
    </x:row>
    <x:row r="2">
      <x:c r="A2" s="67" t="n">
        <x:v>46143</x:v>
      </x:c>
      <x:c r="B2" s="50" t="str">
        <x:v>BLE Scanner</x:v>
      </x:c>
      <x:c r="C2" s="50" t="str">
        <x:v>TR</x:v>
      </x:c>
      <x:c r="D2" s="50" t="str">
        <x:v>A</x:v>
      </x:c>
      <x:c r="E2" s="68" t="n">
        <x:v>39</x:v>
      </x:c>
      <x:c r="F2" s="50" t="str">
        <x:v>TRY</x:v>
      </x:c>
      <x:c r="G2" s="69" t="n">
        <x:v>1200</x:v>
      </x:c>
      <x:c r="H2" s="69" t="n">
        <x:v>48</x:v>
      </x:c>
      <x:c r="I2" s="70" t="n">
        <x:f>IFERROR(H2/G2,0)</x:f>
        <x:v>0.04</x:v>
      </x:c>
      <x:c r="J2" s="68" t="n">
        <x:f>IFERROR(E2*H2,0)</x:f>
        <x:v>1872</x:v>
      </x:c>
      <x:c r="K2" s="68" t="n">
        <x:f>IFERROR(J2/G2,0)</x:f>
        <x:v>1.56</x:v>
      </x:c>
      <x:c r="L2" s="50" t="str">
        <x:f>IF(B2="","",IF(J2=MAX(SUMIFS($J$2:$J$200,$B$2:$B$200,B2,$C$2:$C$200,C2,$D$2:$D$200,"A"),SUMIFS($J$2:$J$200,$B$2:$B$200,B2,$C$2:$C$200,C2,$D$2:$D$200,"B")),"Current Winner",""))</x:f>
      </x:c>
      <x:c r="M2" s="50"/>
      <x:c r="N2" s="50"/>
      <x:c r="O2" s="50"/>
      <x:c r="P2" s="50"/>
      <x:c r="Q2" s="50"/>
      <x:c r="R2" s="50"/>
      <x:c r="S2" s="50"/>
      <x:c r="T2" s="50"/>
      <x:c r="U2" s="50"/>
      <x:c r="V2" s="50"/>
      <x:c r="W2" s="50"/>
      <x:c r="X2" s="50"/>
      <x:c r="Y2" s="50"/>
      <x:c r="Z2" s="50"/>
    </x:row>
    <x:row r="3">
      <x:c r="A3" s="67" t="n">
        <x:v>46150</x:v>
      </x:c>
      <x:c r="B3" s="50" t="str">
        <x:v>BLE Scanner</x:v>
      </x:c>
      <x:c r="C3" s="50" t="str">
        <x:v>TR</x:v>
      </x:c>
      <x:c r="D3" s="50" t="str">
        <x:v>B</x:v>
      </x:c>
      <x:c r="E3" s="68" t="n">
        <x:v>29</x:v>
      </x:c>
      <x:c r="F3" s="50" t="str">
        <x:v>TRY</x:v>
      </x:c>
      <x:c r="G3" s="69" t="n">
        <x:v>1350</x:v>
      </x:c>
      <x:c r="H3" s="69" t="n">
        <x:v>78</x:v>
      </x:c>
      <x:c r="I3" s="70" t="n">
        <x:f>IFERROR(H3/G3,0)</x:f>
        <x:v>0.057777777777777775</x:v>
      </x:c>
      <x:c r="J3" s="68" t="n">
        <x:f>IFERROR(E3*H3,0)</x:f>
        <x:v>2262</x:v>
      </x:c>
      <x:c r="K3" s="68" t="n">
        <x:f>IFERROR(J3/G3,0)</x:f>
        <x:v>1.6755555555555555</x:v>
      </x:c>
      <x:c r="L3" s="50" t="str">
        <x:f>IF(B3="","",IF(J3=MAX(SUMIFS($J$2:$J$200,$B$2:$B$200,B3,$C$2:$C$200,C3,$D$2:$D$200,"A"),SUMIFS($J$2:$J$200,$B$2:$B$200,B3,$C$2:$C$200,C3,$D$2:$D$200,"B")),"Current Winner",""))</x:f>
        <x:v>Current Winner</x:v>
      </x:c>
      <x:c r="M3" s="50"/>
      <x:c r="N3" s="50"/>
      <x:c r="O3" s="50"/>
      <x:c r="P3" s="50"/>
      <x:c r="Q3" s="50"/>
      <x:c r="R3" s="50"/>
      <x:c r="S3" s="50"/>
      <x:c r="T3" s="50"/>
      <x:c r="U3" s="50"/>
      <x:c r="V3" s="50"/>
      <x:c r="W3" s="50"/>
      <x:c r="X3" s="50"/>
      <x:c r="Y3" s="50"/>
      <x:c r="Z3" s="50"/>
    </x:row>
    <x:row r="4">
      <x:c r="A4" s="67" t="n">
        <x:v>46143</x:v>
      </x:c>
      <x:c r="B4" s="50" t="str">
        <x:v>Secure Vault</x:v>
      </x:c>
      <x:c r="C4" s="50" t="str">
        <x:v>TR</x:v>
      </x:c>
      <x:c r="D4" s="50" t="str">
        <x:v>A</x:v>
      </x:c>
      <x:c r="E4" s="68" t="n">
        <x:v>49</x:v>
      </x:c>
      <x:c r="F4" s="50" t="str">
        <x:v>TRY</x:v>
      </x:c>
      <x:c r="G4" s="69" t="n">
        <x:v>900</x:v>
      </x:c>
      <x:c r="H4" s="69" t="n">
        <x:v>32</x:v>
      </x:c>
      <x:c r="I4" s="70" t="n">
        <x:f>IFERROR(H4/G4,0)</x:f>
        <x:v>0.035555555555555556</x:v>
      </x:c>
      <x:c r="J4" s="68" t="n">
        <x:f>IFERROR(E4*H4,0)</x:f>
        <x:v>1568</x:v>
      </x:c>
      <x:c r="K4" s="68" t="n">
        <x:f>IFERROR(J4/G4,0)</x:f>
        <x:v>1.7422222222222221</x:v>
      </x:c>
      <x:c r="L4" s="50" t="str">
        <x:f>IF(B4="","",IF(J4=MAX(SUMIFS($J$2:$J$200,$B$2:$B$200,B4,$C$2:$C$200,C4,$D$2:$D$200,"A"),SUMIFS($J$2:$J$200,$B$2:$B$200,B4,$C$2:$C$200,C4,$D$2:$D$200,"B")),"Current Winner",""))</x:f>
      </x:c>
      <x:c r="M4" s="50"/>
      <x:c r="N4" s="50"/>
      <x:c r="O4" s="50"/>
      <x:c r="P4" s="50"/>
      <x:c r="Q4" s="50"/>
      <x:c r="R4" s="50"/>
      <x:c r="S4" s="50"/>
      <x:c r="T4" s="50"/>
      <x:c r="U4" s="50"/>
      <x:c r="V4" s="50"/>
      <x:c r="W4" s="50"/>
      <x:c r="X4" s="50"/>
      <x:c r="Y4" s="50"/>
      <x:c r="Z4" s="50"/>
    </x:row>
    <x:row r="5">
      <x:c r="A5" s="67" t="n">
        <x:v>46150</x:v>
      </x:c>
      <x:c r="B5" s="50" t="str">
        <x:v>Secure Vault</x:v>
      </x:c>
      <x:c r="C5" s="50" t="str">
        <x:v>TR</x:v>
      </x:c>
      <x:c r="D5" s="50" t="str">
        <x:v>B</x:v>
      </x:c>
      <x:c r="E5" s="68" t="n">
        <x:v>39</x:v>
      </x:c>
      <x:c r="F5" s="50" t="str">
        <x:v>TRY</x:v>
      </x:c>
      <x:c r="G5" s="69" t="n">
        <x:v>960</x:v>
      </x:c>
      <x:c r="H5" s="69" t="n">
        <x:v>45</x:v>
      </x:c>
      <x:c r="I5" s="70" t="n">
        <x:f>IFERROR(H5/G5,0)</x:f>
        <x:v>0.046875</x:v>
      </x:c>
      <x:c r="J5" s="68" t="n">
        <x:f>IFERROR(E5*H5,0)</x:f>
        <x:v>1755</x:v>
      </x:c>
      <x:c r="K5" s="68" t="n">
        <x:f>IFERROR(J5/G5,0)</x:f>
        <x:v>1.828125</x:v>
      </x:c>
      <x:c r="L5" s="50" t="str">
        <x:f>IF(B5="","",IF(J5=MAX(SUMIFS($J$2:$J$200,$B$2:$B$200,B5,$C$2:$C$200,C5,$D$2:$D$200,"A"),SUMIFS($J$2:$J$200,$B$2:$B$200,B5,$C$2:$C$200,C5,$D$2:$D$200,"B")),"Current Winner",""))</x:f>
        <x:v>Current Winner</x:v>
      </x:c>
      <x:c r="M5" s="50"/>
      <x:c r="N5" s="50"/>
      <x:c r="O5" s="50"/>
      <x:c r="P5" s="50"/>
      <x:c r="Q5" s="50"/>
      <x:c r="R5" s="50"/>
      <x:c r="S5" s="50"/>
      <x:c r="T5" s="50"/>
      <x:c r="U5" s="50"/>
      <x:c r="V5" s="50"/>
      <x:c r="W5" s="50"/>
      <x:c r="X5" s="50"/>
      <x:c r="Y5" s="50"/>
      <x:c r="Z5" s="50"/>
    </x:row>
    <x:row r="6">
      <x:c r="A6" s="67" t="n">
        <x:v>46143</x:v>
      </x:c>
      <x:c r="B6" s="50" t="str">
        <x:v>BLE Scanner</x:v>
      </x:c>
      <x:c r="C6" s="50" t="str">
        <x:v>IN</x:v>
      </x:c>
      <x:c r="D6" s="50" t="str">
        <x:v>A</x:v>
      </x:c>
      <x:c r="E6" s="68" t="n">
        <x:v>49</x:v>
      </x:c>
      <x:c r="F6" s="50" t="str">
        <x:v>INR</x:v>
      </x:c>
      <x:c r="G6" s="69" t="n">
        <x:v>2400</x:v>
      </x:c>
      <x:c r="H6" s="69" t="n">
        <x:v>96</x:v>
      </x:c>
      <x:c r="I6" s="70" t="n">
        <x:f>IFERROR(H6/G6,0)</x:f>
        <x:v>0.04</x:v>
      </x:c>
      <x:c r="J6" s="68" t="n">
        <x:f>IFERROR(E6*H6,0)</x:f>
        <x:v>4704</x:v>
      </x:c>
      <x:c r="K6" s="68" t="n">
        <x:f>IFERROR(J6/G6,0)</x:f>
        <x:v>1.96</x:v>
      </x:c>
      <x:c r="L6" s="50" t="str">
        <x:f>IF(B6="","",IF(J6=MAX(SUMIFS($J$2:$J$200,$B$2:$B$200,B6,$C$2:$C$200,C6,$D$2:$D$200,"A"),SUMIFS($J$2:$J$200,$B$2:$B$200,B6,$C$2:$C$200,C6,$D$2:$D$200,"B")),"Current Winner",""))</x:f>
      </x:c>
      <x:c r="M6" s="50"/>
      <x:c r="N6" s="50"/>
      <x:c r="O6" s="50"/>
      <x:c r="P6" s="50"/>
      <x:c r="Q6" s="50"/>
      <x:c r="R6" s="50"/>
      <x:c r="S6" s="50"/>
      <x:c r="T6" s="50"/>
      <x:c r="U6" s="50"/>
      <x:c r="V6" s="50"/>
      <x:c r="W6" s="50"/>
      <x:c r="X6" s="50"/>
      <x:c r="Y6" s="50"/>
      <x:c r="Z6" s="50"/>
    </x:row>
    <x:row r="7">
      <x:c r="A7" s="67" t="n">
        <x:v>46150</x:v>
      </x:c>
      <x:c r="B7" s="50" t="str">
        <x:v>BLE Scanner</x:v>
      </x:c>
      <x:c r="C7" s="50" t="str">
        <x:v>IN</x:v>
      </x:c>
      <x:c r="D7" s="50" t="str">
        <x:v>B</x:v>
      </x:c>
      <x:c r="E7" s="68" t="n">
        <x:v>29</x:v>
      </x:c>
      <x:c r="F7" s="50" t="str">
        <x:v>INR</x:v>
      </x:c>
      <x:c r="G7" s="69" t="n">
        <x:v>2700</x:v>
      </x:c>
      <x:c r="H7" s="69" t="n">
        <x:v>168</x:v>
      </x:c>
      <x:c r="I7" s="70" t="n">
        <x:f>IFERROR(H7/G7,0)</x:f>
        <x:v>0.06222222222222222</x:v>
      </x:c>
      <x:c r="J7" s="68" t="n">
        <x:f>IFERROR(E7*H7,0)</x:f>
        <x:v>4872</x:v>
      </x:c>
      <x:c r="K7" s="68" t="n">
        <x:f>IFERROR(J7/G7,0)</x:f>
        <x:v>1.8044444444444445</x:v>
      </x:c>
      <x:c r="L7" s="50" t="str">
        <x:f>IF(B7="","",IF(J7=MAX(SUMIFS($J$2:$J$200,$B$2:$B$200,B7,$C$2:$C$200,C7,$D$2:$D$200,"A"),SUMIFS($J$2:$J$200,$B$2:$B$200,B7,$C$2:$C$200,C7,$D$2:$D$200,"B")),"Current Winner",""))</x:f>
        <x:v>Current Winner</x:v>
      </x:c>
      <x:c r="M7" s="50"/>
      <x:c r="N7" s="50"/>
      <x:c r="O7" s="50"/>
      <x:c r="P7" s="50"/>
      <x:c r="Q7" s="50"/>
      <x:c r="R7" s="50"/>
      <x:c r="S7" s="50"/>
      <x:c r="T7" s="50"/>
      <x:c r="U7" s="50"/>
      <x:c r="V7" s="50"/>
      <x:c r="W7" s="50"/>
      <x:c r="X7" s="50"/>
      <x:c r="Y7" s="50"/>
      <x:c r="Z7" s="50"/>
    </x:row>
    <x:row r="8">
      <x:c r="A8" s="67" t="n">
        <x:v>46143</x:v>
      </x:c>
      <x:c r="B8" s="50" t="str">
        <x:v>Secure Vault</x:v>
      </x:c>
      <x:c r="C8" s="50" t="str">
        <x:v>BR</x:v>
      </x:c>
      <x:c r="D8" s="50" t="str">
        <x:v>A</x:v>
      </x:c>
      <x:c r="E8" s="68" t="n">
        <x:v>6.9</x:v>
      </x:c>
      <x:c r="F8" s="50" t="str">
        <x:v>BRL</x:v>
      </x:c>
      <x:c r="G8" s="69" t="n">
        <x:v>760</x:v>
      </x:c>
      <x:c r="H8" s="69" t="n">
        <x:v>20</x:v>
      </x:c>
      <x:c r="I8" s="70" t="n">
        <x:f>IFERROR(H8/G8,0)</x:f>
        <x:v>0.02631578947368421</x:v>
      </x:c>
      <x:c r="J8" s="68" t="n">
        <x:f>IFERROR(E8*H8,0)</x:f>
        <x:v>138</x:v>
      </x:c>
      <x:c r="K8" s="68" t="n">
        <x:f>IFERROR(J8/G8,0)</x:f>
        <x:v>0.18157894736842106</x:v>
      </x:c>
      <x:c r="L8" s="50" t="str">
        <x:f>IF(B8="","",IF(J8=MAX(SUMIFS($J$2:$J$200,$B$2:$B$200,B8,$C$2:$C$200,C8,$D$2:$D$200,"A"),SUMIFS($J$2:$J$200,$B$2:$B$200,B8,$C$2:$C$200,C8,$D$2:$D$200,"B")),"Current Winner",""))</x:f>
      </x:c>
      <x:c r="M8" s="50"/>
      <x:c r="N8" s="50"/>
      <x:c r="O8" s="50"/>
      <x:c r="P8" s="50"/>
      <x:c r="Q8" s="50"/>
      <x:c r="R8" s="50"/>
      <x:c r="S8" s="50"/>
      <x:c r="T8" s="50"/>
      <x:c r="U8" s="50"/>
      <x:c r="V8" s="50"/>
      <x:c r="W8" s="50"/>
      <x:c r="X8" s="50"/>
      <x:c r="Y8" s="50"/>
      <x:c r="Z8" s="50"/>
    </x:row>
    <x:row r="9">
      <x:c r="A9" s="67" t="n">
        <x:v>46150</x:v>
      </x:c>
      <x:c r="B9" s="50" t="str">
        <x:v>Secure Vault</x:v>
      </x:c>
      <x:c r="C9" s="50" t="str">
        <x:v>BR</x:v>
      </x:c>
      <x:c r="D9" s="50" t="str">
        <x:v>B</x:v>
      </x:c>
      <x:c r="E9" s="68" t="n">
        <x:v>4.9</x:v>
      </x:c>
      <x:c r="F9" s="50" t="str">
        <x:v>BRL</x:v>
      </x:c>
      <x:c r="G9" s="69" t="n">
        <x:v>830</x:v>
      </x:c>
      <x:c r="H9" s="69" t="n">
        <x:v>32</x:v>
      </x:c>
      <x:c r="I9" s="70" t="n">
        <x:f>IFERROR(H9/G9,0)</x:f>
        <x:v>0.03855421686746988</x:v>
      </x:c>
      <x:c r="J9" s="68" t="n">
        <x:f>IFERROR(E9*H9,0)</x:f>
        <x:v>156.8</x:v>
      </x:c>
      <x:c r="K9" s="68" t="n">
        <x:f>IFERROR(J9/G9,0)</x:f>
        <x:v>0.18891566265060242</x:v>
      </x:c>
      <x:c r="L9" s="50" t="str">
        <x:f>IF(B9="","",IF(J9=MAX(SUMIFS($J$2:$J$200,$B$2:$B$200,B9,$C$2:$C$200,C9,$D$2:$D$200,"A"),SUMIFS($J$2:$J$200,$B$2:$B$200,B9,$C$2:$C$200,C9,$D$2:$D$200,"B")),"Current Winner",""))</x:f>
        <x:v>Current Winner</x:v>
      </x:c>
      <x:c r="M9" s="50"/>
      <x:c r="N9" s="50"/>
      <x:c r="O9" s="50"/>
      <x:c r="P9" s="50"/>
      <x:c r="Q9" s="50"/>
      <x:c r="R9" s="50"/>
      <x:c r="S9" s="50"/>
      <x:c r="T9" s="50"/>
      <x:c r="U9" s="50"/>
      <x:c r="V9" s="50"/>
      <x:c r="W9" s="50"/>
      <x:c r="X9" s="50"/>
      <x:c r="Y9" s="50"/>
      <x:c r="Z9" s="50"/>
    </x:row>
    <x:row r="10">
      <x:c r="A10" s="67"/>
      <x:c r="B10" s="50"/>
      <x:c r="C10" s="50"/>
      <x:c r="D10" s="50"/>
      <x:c r="E10" s="68"/>
      <x:c r="F10" s="50"/>
      <x:c r="G10" s="69"/>
      <x:c r="H10" s="69"/>
      <x:c r="I10" s="70" t="n">
        <x:f>IFERROR(H10/G10,0)</x:f>
        <x:v>0</x:v>
      </x:c>
      <x:c r="J10" s="68" t="n">
        <x:f>IFERROR(E10*H10,0)</x:f>
        <x:v>0</x:v>
      </x:c>
      <x:c r="K10" s="68" t="n">
        <x:f>IFERROR(J10/G10,0)</x:f>
        <x:v>0</x:v>
      </x:c>
      <x:c r="L10" s="50" t="str">
        <x:f>IF(B10="","",IF(J10=MAX(SUMIFS($J$2:$J$200,$B$2:$B$200,B10,$C$2:$C$200,C10,$D$2:$D$200,"A"),SUMIFS($J$2:$J$200,$B$2:$B$200,B10,$C$2:$C$200,C10,$D$2:$D$200,"B")),"Current Winner",""))</x:f>
      </x:c>
      <x:c r="M10" s="50"/>
      <x:c r="N10" s="50"/>
      <x:c r="O10" s="50"/>
      <x:c r="P10" s="50"/>
      <x:c r="Q10" s="50"/>
      <x:c r="R10" s="50"/>
      <x:c r="S10" s="50"/>
      <x:c r="T10" s="50"/>
      <x:c r="U10" s="50"/>
      <x:c r="V10" s="50"/>
      <x:c r="W10" s="50"/>
      <x:c r="X10" s="50"/>
      <x:c r="Y10" s="50"/>
      <x:c r="Z10" s="50"/>
    </x:row>
    <x:row r="11">
      <x:c r="A11" s="67"/>
      <x:c r="B11" s="50"/>
      <x:c r="C11" s="50"/>
      <x:c r="D11" s="50"/>
      <x:c r="E11" s="68"/>
      <x:c r="F11" s="50"/>
      <x:c r="G11" s="69"/>
      <x:c r="H11" s="69"/>
      <x:c r="I11" s="70" t="n">
        <x:f>IFERROR(H11/G11,0)</x:f>
        <x:v>0</x:v>
      </x:c>
      <x:c r="J11" s="68" t="n">
        <x:f>IFERROR(E11*H11,0)</x:f>
        <x:v>0</x:v>
      </x:c>
      <x:c r="K11" s="68" t="n">
        <x:f>IFERROR(J11/G11,0)</x:f>
        <x:v>0</x:v>
      </x:c>
      <x:c r="L11" s="50" t="str">
        <x:f>IF(B11="","",IF(J11=MAX(SUMIFS($J$2:$J$200,$B$2:$B$200,B11,$C$2:$C$200,C11,$D$2:$D$200,"A"),SUMIFS($J$2:$J$200,$B$2:$B$200,B11,$C$2:$C$200,C11,$D$2:$D$200,"B")),"Current Winner",""))</x:f>
      </x:c>
      <x:c r="M11" s="50"/>
      <x:c r="N11" s="50"/>
      <x:c r="O11" s="50"/>
      <x:c r="P11" s="50"/>
      <x:c r="Q11" s="50"/>
      <x:c r="R11" s="50"/>
      <x:c r="S11" s="50"/>
      <x:c r="T11" s="50"/>
      <x:c r="U11" s="50"/>
      <x:c r="V11" s="50"/>
      <x:c r="W11" s="50"/>
      <x:c r="X11" s="50"/>
      <x:c r="Y11" s="50"/>
      <x:c r="Z11" s="50"/>
    </x:row>
    <x:row r="12">
      <x:c r="A12" s="67"/>
      <x:c r="B12" s="50"/>
      <x:c r="C12" s="50"/>
      <x:c r="D12" s="50"/>
      <x:c r="E12" s="68"/>
      <x:c r="F12" s="50"/>
      <x:c r="G12" s="69"/>
      <x:c r="H12" s="69"/>
      <x:c r="I12" s="70" t="n">
        <x:f>IFERROR(H12/G12,0)</x:f>
        <x:v>0</x:v>
      </x:c>
      <x:c r="J12" s="68" t="n">
        <x:f>IFERROR(E12*H12,0)</x:f>
        <x:v>0</x:v>
      </x:c>
      <x:c r="K12" s="68" t="n">
        <x:f>IFERROR(J12/G12,0)</x:f>
        <x:v>0</x:v>
      </x:c>
      <x:c r="L12" s="50" t="str">
        <x:f>IF(B12="","",IF(J12=MAX(SUMIFS($J$2:$J$200,$B$2:$B$200,B12,$C$2:$C$200,C12,$D$2:$D$200,"A"),SUMIFS($J$2:$J$200,$B$2:$B$200,B12,$C$2:$C$200,C12,$D$2:$D$200,"B")),"Current Winner",""))</x:f>
      </x:c>
      <x:c r="M12" s="50"/>
      <x:c r="N12" s="50"/>
      <x:c r="O12" s="50"/>
      <x:c r="P12" s="50"/>
      <x:c r="Q12" s="50"/>
      <x:c r="R12" s="50"/>
      <x:c r="S12" s="50"/>
      <x:c r="T12" s="50"/>
      <x:c r="U12" s="50"/>
      <x:c r="V12" s="50"/>
      <x:c r="W12" s="50"/>
      <x:c r="X12" s="50"/>
      <x:c r="Y12" s="50"/>
      <x:c r="Z12" s="50"/>
    </x:row>
    <x:row r="13">
      <x:c r="A13" s="67"/>
      <x:c r="B13" s="50"/>
      <x:c r="C13" s="50"/>
      <x:c r="D13" s="50"/>
      <x:c r="E13" s="68"/>
      <x:c r="F13" s="50"/>
      <x:c r="G13" s="69"/>
      <x:c r="H13" s="69"/>
      <x:c r="I13" s="70" t="n">
        <x:f>IFERROR(H13/G13,0)</x:f>
        <x:v>0</x:v>
      </x:c>
      <x:c r="J13" s="68" t="n">
        <x:f>IFERROR(E13*H13,0)</x:f>
        <x:v>0</x:v>
      </x:c>
      <x:c r="K13" s="68" t="n">
        <x:f>IFERROR(J13/G13,0)</x:f>
        <x:v>0</x:v>
      </x:c>
      <x:c r="L13" s="50" t="str">
        <x:f>IF(B13="","",IF(J13=MAX(SUMIFS($J$2:$J$200,$B$2:$B$200,B13,$C$2:$C$200,C13,$D$2:$D$200,"A"),SUMIFS($J$2:$J$200,$B$2:$B$200,B13,$C$2:$C$200,C13,$D$2:$D$200,"B")),"Current Winner",""))</x:f>
      </x:c>
      <x:c r="M13" s="50"/>
      <x:c r="N13" s="50"/>
      <x:c r="O13" s="50"/>
      <x:c r="P13" s="50"/>
      <x:c r="Q13" s="50"/>
      <x:c r="R13" s="50"/>
      <x:c r="S13" s="50"/>
      <x:c r="T13" s="50"/>
      <x:c r="U13" s="50"/>
      <x:c r="V13" s="50"/>
      <x:c r="W13" s="50"/>
      <x:c r="X13" s="50"/>
      <x:c r="Y13" s="50"/>
      <x:c r="Z13" s="50"/>
    </x:row>
    <x:row r="14">
      <x:c r="A14" s="67"/>
      <x:c r="B14" s="50"/>
      <x:c r="C14" s="50"/>
      <x:c r="D14" s="50"/>
      <x:c r="E14" s="68"/>
      <x:c r="F14" s="50"/>
      <x:c r="G14" s="69"/>
      <x:c r="H14" s="69"/>
      <x:c r="I14" s="70" t="n">
        <x:f>IFERROR(H14/G14,0)</x:f>
        <x:v>0</x:v>
      </x:c>
      <x:c r="J14" s="68" t="n">
        <x:f>IFERROR(E14*H14,0)</x:f>
        <x:v>0</x:v>
      </x:c>
      <x:c r="K14" s="68" t="n">
        <x:f>IFERROR(J14/G14,0)</x:f>
        <x:v>0</x:v>
      </x:c>
      <x:c r="L14" s="50" t="str">
        <x:f>IF(B14="","",IF(J14=MAX(SUMIFS($J$2:$J$200,$B$2:$B$200,B14,$C$2:$C$200,C14,$D$2:$D$200,"A"),SUMIFS($J$2:$J$200,$B$2:$B$200,B14,$C$2:$C$200,C14,$D$2:$D$200,"B")),"Current Winner",""))</x:f>
      </x:c>
      <x:c r="M14" s="50"/>
      <x:c r="N14" s="50"/>
      <x:c r="O14" s="50"/>
      <x:c r="P14" s="50"/>
      <x:c r="Q14" s="50"/>
      <x:c r="R14" s="50"/>
      <x:c r="S14" s="50"/>
      <x:c r="T14" s="50"/>
      <x:c r="U14" s="50"/>
      <x:c r="V14" s="50"/>
      <x:c r="W14" s="50"/>
      <x:c r="X14" s="50"/>
      <x:c r="Y14" s="50"/>
      <x:c r="Z14" s="50"/>
    </x:row>
    <x:row r="15">
      <x:c r="A15" s="67"/>
      <x:c r="B15" s="50"/>
      <x:c r="C15" s="50"/>
      <x:c r="D15" s="50"/>
      <x:c r="E15" s="68"/>
      <x:c r="F15" s="50"/>
      <x:c r="G15" s="69"/>
      <x:c r="H15" s="69"/>
      <x:c r="I15" s="70" t="n">
        <x:f>IFERROR(H15/G15,0)</x:f>
        <x:v>0</x:v>
      </x:c>
      <x:c r="J15" s="68" t="n">
        <x:f>IFERROR(E15*H15,0)</x:f>
        <x:v>0</x:v>
      </x:c>
      <x:c r="K15" s="68" t="n">
        <x:f>IFERROR(J15/G15,0)</x:f>
        <x:v>0</x:v>
      </x:c>
      <x:c r="L15" s="50" t="str">
        <x:f>IF(B15="","",IF(J15=MAX(SUMIFS($J$2:$J$200,$B$2:$B$200,B15,$C$2:$C$200,C15,$D$2:$D$200,"A"),SUMIFS($J$2:$J$200,$B$2:$B$200,B15,$C$2:$C$200,C15,$D$2:$D$200,"B")),"Current Winner",""))</x:f>
      </x:c>
      <x:c r="M15" s="50"/>
      <x:c r="N15" s="50"/>
      <x:c r="O15" s="50"/>
      <x:c r="P15" s="50"/>
      <x:c r="Q15" s="50"/>
      <x:c r="R15" s="50"/>
      <x:c r="S15" s="50"/>
      <x:c r="T15" s="50"/>
      <x:c r="U15" s="50"/>
      <x:c r="V15" s="50"/>
      <x:c r="W15" s="50"/>
      <x:c r="X15" s="50"/>
      <x:c r="Y15" s="50"/>
      <x:c r="Z15" s="50"/>
    </x:row>
    <x:row r="16">
      <x:c r="A16" s="67"/>
      <x:c r="B16" s="50"/>
      <x:c r="C16" s="50"/>
      <x:c r="D16" s="50"/>
      <x:c r="E16" s="68"/>
      <x:c r="F16" s="50"/>
      <x:c r="G16" s="69"/>
      <x:c r="H16" s="69"/>
      <x:c r="I16" s="70" t="n">
        <x:f>IFERROR(H16/G16,0)</x:f>
        <x:v>0</x:v>
      </x:c>
      <x:c r="J16" s="68" t="n">
        <x:f>IFERROR(E16*H16,0)</x:f>
        <x:v>0</x:v>
      </x:c>
      <x:c r="K16" s="68" t="n">
        <x:f>IFERROR(J16/G16,0)</x:f>
        <x:v>0</x:v>
      </x:c>
      <x:c r="L16" s="50" t="str">
        <x:f>IF(B16="","",IF(J16=MAX(SUMIFS($J$2:$J$200,$B$2:$B$200,B16,$C$2:$C$200,C16,$D$2:$D$200,"A"),SUMIFS($J$2:$J$200,$B$2:$B$200,B16,$C$2:$C$200,C16,$D$2:$D$200,"B")),"Current Winner",""))</x:f>
      </x:c>
      <x:c r="M16" s="50"/>
      <x:c r="N16" s="50"/>
      <x:c r="O16" s="50"/>
      <x:c r="P16" s="50"/>
      <x:c r="Q16" s="50"/>
      <x:c r="R16" s="50"/>
      <x:c r="S16" s="50"/>
      <x:c r="T16" s="50"/>
      <x:c r="U16" s="50"/>
      <x:c r="V16" s="50"/>
      <x:c r="W16" s="50"/>
      <x:c r="X16" s="50"/>
      <x:c r="Y16" s="50"/>
      <x:c r="Z16" s="50"/>
    </x:row>
    <x:row r="17">
      <x:c r="A17" s="67"/>
      <x:c r="B17" s="50"/>
      <x:c r="C17" s="50"/>
      <x:c r="D17" s="50"/>
      <x:c r="E17" s="68"/>
      <x:c r="F17" s="50"/>
      <x:c r="G17" s="69"/>
      <x:c r="H17" s="69"/>
      <x:c r="I17" s="70" t="n">
        <x:f>IFERROR(H17/G17,0)</x:f>
        <x:v>0</x:v>
      </x:c>
      <x:c r="J17" s="68" t="n">
        <x:f>IFERROR(E17*H17,0)</x:f>
        <x:v>0</x:v>
      </x:c>
      <x:c r="K17" s="68" t="n">
        <x:f>IFERROR(J17/G17,0)</x:f>
        <x:v>0</x:v>
      </x:c>
      <x:c r="L17" s="50" t="str">
        <x:f>IF(B17="","",IF(J17=MAX(SUMIFS($J$2:$J$200,$B$2:$B$200,B17,$C$2:$C$200,C17,$D$2:$D$200,"A"),SUMIFS($J$2:$J$200,$B$2:$B$200,B17,$C$2:$C$200,C17,$D$2:$D$200,"B")),"Current Winner",""))</x:f>
      </x:c>
      <x:c r="M17" s="50"/>
      <x:c r="N17" s="50"/>
      <x:c r="O17" s="50"/>
      <x:c r="P17" s="50"/>
      <x:c r="Q17" s="50"/>
      <x:c r="R17" s="50"/>
      <x:c r="S17" s="50"/>
      <x:c r="T17" s="50"/>
      <x:c r="U17" s="50"/>
      <x:c r="V17" s="50"/>
      <x:c r="W17" s="50"/>
      <x:c r="X17" s="50"/>
      <x:c r="Y17" s="50"/>
      <x:c r="Z17" s="50"/>
    </x:row>
    <x:row r="18">
      <x:c r="A18" s="67"/>
      <x:c r="B18" s="50"/>
      <x:c r="C18" s="50"/>
      <x:c r="D18" s="50"/>
      <x:c r="E18" s="68"/>
      <x:c r="F18" s="50"/>
      <x:c r="G18" s="69"/>
      <x:c r="H18" s="69"/>
      <x:c r="I18" s="70" t="n">
        <x:f>IFERROR(H18/G18,0)</x:f>
        <x:v>0</x:v>
      </x:c>
      <x:c r="J18" s="68" t="n">
        <x:f>IFERROR(E18*H18,0)</x:f>
        <x:v>0</x:v>
      </x:c>
      <x:c r="K18" s="68" t="n">
        <x:f>IFERROR(J18/G18,0)</x:f>
        <x:v>0</x:v>
      </x:c>
      <x:c r="L18" s="50" t="str">
        <x:f>IF(B18="","",IF(J18=MAX(SUMIFS($J$2:$J$200,$B$2:$B$200,B18,$C$2:$C$200,C18,$D$2:$D$200,"A"),SUMIFS($J$2:$J$200,$B$2:$B$200,B18,$C$2:$C$200,C18,$D$2:$D$200,"B")),"Current Winner",""))</x:f>
      </x:c>
      <x:c r="M18" s="50"/>
      <x:c r="N18" s="50"/>
      <x:c r="O18" s="50"/>
      <x:c r="P18" s="50"/>
      <x:c r="Q18" s="50"/>
      <x:c r="R18" s="50"/>
      <x:c r="S18" s="50"/>
      <x:c r="T18" s="50"/>
      <x:c r="U18" s="50"/>
      <x:c r="V18" s="50"/>
      <x:c r="W18" s="50"/>
      <x:c r="X18" s="50"/>
      <x:c r="Y18" s="50"/>
      <x:c r="Z18" s="50"/>
    </x:row>
    <x:row r="19">
      <x:c r="A19" s="67"/>
      <x:c r="B19" s="50"/>
      <x:c r="C19" s="50"/>
      <x:c r="D19" s="50"/>
      <x:c r="E19" s="68"/>
      <x:c r="F19" s="50"/>
      <x:c r="G19" s="69"/>
      <x:c r="H19" s="69"/>
      <x:c r="I19" s="70" t="n">
        <x:f>IFERROR(H19/G19,0)</x:f>
        <x:v>0</x:v>
      </x:c>
      <x:c r="J19" s="68" t="n">
        <x:f>IFERROR(E19*H19,0)</x:f>
        <x:v>0</x:v>
      </x:c>
      <x:c r="K19" s="68" t="n">
        <x:f>IFERROR(J19/G19,0)</x:f>
        <x:v>0</x:v>
      </x:c>
      <x:c r="L19" s="50" t="str">
        <x:f>IF(B19="","",IF(J19=MAX(SUMIFS($J$2:$J$200,$B$2:$B$200,B19,$C$2:$C$200,C19,$D$2:$D$200,"A"),SUMIFS($J$2:$J$200,$B$2:$B$200,B19,$C$2:$C$200,C19,$D$2:$D$200,"B")),"Current Winner",""))</x:f>
      </x:c>
      <x:c r="M19" s="50"/>
      <x:c r="N19" s="50"/>
      <x:c r="O19" s="50"/>
      <x:c r="P19" s="50"/>
      <x:c r="Q19" s="50"/>
      <x:c r="R19" s="50"/>
      <x:c r="S19" s="50"/>
      <x:c r="T19" s="50"/>
      <x:c r="U19" s="50"/>
      <x:c r="V19" s="50"/>
      <x:c r="W19" s="50"/>
      <x:c r="X19" s="50"/>
      <x:c r="Y19" s="50"/>
      <x:c r="Z19" s="50"/>
    </x:row>
    <x:row r="20">
      <x:c r="A20" s="67"/>
      <x:c r="B20" s="50"/>
      <x:c r="C20" s="50"/>
      <x:c r="D20" s="50"/>
      <x:c r="E20" s="68"/>
      <x:c r="F20" s="50"/>
      <x:c r="G20" s="69"/>
      <x:c r="H20" s="69"/>
      <x:c r="I20" s="70" t="n">
        <x:f>IFERROR(H20/G20,0)</x:f>
        <x:v>0</x:v>
      </x:c>
      <x:c r="J20" s="68" t="n">
        <x:f>IFERROR(E20*H20,0)</x:f>
        <x:v>0</x:v>
      </x:c>
      <x:c r="K20" s="68" t="n">
        <x:f>IFERROR(J20/G20,0)</x:f>
        <x:v>0</x:v>
      </x:c>
      <x:c r="L20" s="50" t="str">
        <x:f>IF(B20="","",IF(J20=MAX(SUMIFS($J$2:$J$200,$B$2:$B$200,B20,$C$2:$C$200,C20,$D$2:$D$200,"A"),SUMIFS($J$2:$J$200,$B$2:$B$200,B20,$C$2:$C$200,C20,$D$2:$D$200,"B")),"Current Winner",""))</x:f>
      </x:c>
      <x:c r="M20" s="50"/>
      <x:c r="N20" s="50"/>
      <x:c r="O20" s="50"/>
      <x:c r="P20" s="50"/>
      <x:c r="Q20" s="50"/>
      <x:c r="R20" s="50"/>
      <x:c r="S20" s="50"/>
      <x:c r="T20" s="50"/>
      <x:c r="U20" s="50"/>
      <x:c r="V20" s="50"/>
      <x:c r="W20" s="50"/>
      <x:c r="X20" s="50"/>
      <x:c r="Y20" s="50"/>
      <x:c r="Z20" s="50"/>
    </x:row>
    <x:row r="21">
      <x:c r="A21" s="67"/>
      <x:c r="B21" s="50"/>
      <x:c r="C21" s="50"/>
      <x:c r="D21" s="50"/>
      <x:c r="E21" s="68"/>
      <x:c r="F21" s="50"/>
      <x:c r="G21" s="69"/>
      <x:c r="H21" s="69"/>
      <x:c r="I21" s="70" t="n">
        <x:f>IFERROR(H21/G21,0)</x:f>
        <x:v>0</x:v>
      </x:c>
      <x:c r="J21" s="68" t="n">
        <x:f>IFERROR(E21*H21,0)</x:f>
        <x:v>0</x:v>
      </x:c>
      <x:c r="K21" s="68" t="n">
        <x:f>IFERROR(J21/G21,0)</x:f>
        <x:v>0</x:v>
      </x:c>
      <x:c r="L21" s="50" t="str">
        <x:f>IF(B21="","",IF(J21=MAX(SUMIFS($J$2:$J$200,$B$2:$B$200,B21,$C$2:$C$200,C21,$D$2:$D$200,"A"),SUMIFS($J$2:$J$200,$B$2:$B$200,B21,$C$2:$C$200,C21,$D$2:$D$200,"B")),"Current Winner",""))</x:f>
      </x:c>
      <x:c r="M21" s="50"/>
      <x:c r="N21" s="50"/>
      <x:c r="O21" s="50"/>
      <x:c r="P21" s="50"/>
      <x:c r="Q21" s="50"/>
      <x:c r="R21" s="50"/>
      <x:c r="S21" s="50"/>
      <x:c r="T21" s="50"/>
      <x:c r="U21" s="50"/>
      <x:c r="V21" s="50"/>
      <x:c r="W21" s="50"/>
      <x:c r="X21" s="50"/>
      <x:c r="Y21" s="50"/>
      <x:c r="Z21" s="50"/>
    </x:row>
    <x:row r="22">
      <x:c r="A22" s="67"/>
      <x:c r="B22" s="50"/>
      <x:c r="C22" s="50"/>
      <x:c r="D22" s="50"/>
      <x:c r="E22" s="68"/>
      <x:c r="F22" s="50"/>
      <x:c r="G22" s="69"/>
      <x:c r="H22" s="69"/>
      <x:c r="I22" s="70" t="n">
        <x:f>IFERROR(H22/G22,0)</x:f>
        <x:v>0</x:v>
      </x:c>
      <x:c r="J22" s="68" t="n">
        <x:f>IFERROR(E22*H22,0)</x:f>
        <x:v>0</x:v>
      </x:c>
      <x:c r="K22" s="68" t="n">
        <x:f>IFERROR(J22/G22,0)</x:f>
        <x:v>0</x:v>
      </x:c>
      <x:c r="L22" s="50" t="str">
        <x:f>IF(B22="","",IF(J22=MAX(SUMIFS($J$2:$J$200,$B$2:$B$200,B22,$C$2:$C$200,C22,$D$2:$D$200,"A"),SUMIFS($J$2:$J$200,$B$2:$B$200,B22,$C$2:$C$200,C22,$D$2:$D$200,"B")),"Current Winner",""))</x:f>
      </x:c>
      <x:c r="M22" s="50"/>
      <x:c r="N22" s="50"/>
      <x:c r="O22" s="50"/>
      <x:c r="P22" s="50"/>
      <x:c r="Q22" s="50"/>
      <x:c r="R22" s="50"/>
      <x:c r="S22" s="50"/>
      <x:c r="T22" s="50"/>
      <x:c r="U22" s="50"/>
      <x:c r="V22" s="50"/>
      <x:c r="W22" s="50"/>
      <x:c r="X22" s="50"/>
      <x:c r="Y22" s="50"/>
      <x:c r="Z22" s="50"/>
    </x:row>
    <x:row r="23">
      <x:c r="A23" s="67"/>
      <x:c r="B23" s="50"/>
      <x:c r="C23" s="50"/>
      <x:c r="D23" s="50"/>
      <x:c r="E23" s="68"/>
      <x:c r="F23" s="50"/>
      <x:c r="G23" s="69"/>
      <x:c r="H23" s="69"/>
      <x:c r="I23" s="70" t="n">
        <x:f>IFERROR(H23/G23,0)</x:f>
        <x:v>0</x:v>
      </x:c>
      <x:c r="J23" s="68" t="n">
        <x:f>IFERROR(E23*H23,0)</x:f>
        <x:v>0</x:v>
      </x:c>
      <x:c r="K23" s="68" t="n">
        <x:f>IFERROR(J23/G23,0)</x:f>
        <x:v>0</x:v>
      </x:c>
      <x:c r="L23" s="50" t="str">
        <x:f>IF(B23="","",IF(J23=MAX(SUMIFS($J$2:$J$200,$B$2:$B$200,B23,$C$2:$C$200,C23,$D$2:$D$200,"A"),SUMIFS($J$2:$J$200,$B$2:$B$200,B23,$C$2:$C$200,C23,$D$2:$D$200,"B")),"Current Winner",""))</x:f>
      </x:c>
      <x:c r="M23" s="50"/>
      <x:c r="N23" s="50"/>
      <x:c r="O23" s="50"/>
      <x:c r="P23" s="50"/>
      <x:c r="Q23" s="50"/>
      <x:c r="R23" s="50"/>
      <x:c r="S23" s="50"/>
      <x:c r="T23" s="50"/>
      <x:c r="U23" s="50"/>
      <x:c r="V23" s="50"/>
      <x:c r="W23" s="50"/>
      <x:c r="X23" s="50"/>
      <x:c r="Y23" s="50"/>
      <x:c r="Z23" s="50"/>
    </x:row>
    <x:row r="24">
      <x:c r="A24" s="67"/>
      <x:c r="B24" s="50"/>
      <x:c r="C24" s="50"/>
      <x:c r="D24" s="50"/>
      <x:c r="E24" s="68"/>
      <x:c r="F24" s="50"/>
      <x:c r="G24" s="69"/>
      <x:c r="H24" s="69"/>
      <x:c r="I24" s="70" t="n">
        <x:f>IFERROR(H24/G24,0)</x:f>
        <x:v>0</x:v>
      </x:c>
      <x:c r="J24" s="68" t="n">
        <x:f>IFERROR(E24*H24,0)</x:f>
        <x:v>0</x:v>
      </x:c>
      <x:c r="K24" s="68" t="n">
        <x:f>IFERROR(J24/G24,0)</x:f>
        <x:v>0</x:v>
      </x:c>
      <x:c r="L24" s="50" t="str">
        <x:f>IF(B24="","",IF(J24=MAX(SUMIFS($J$2:$J$200,$B$2:$B$200,B24,$C$2:$C$200,C24,$D$2:$D$200,"A"),SUMIFS($J$2:$J$200,$B$2:$B$200,B24,$C$2:$C$200,C24,$D$2:$D$200,"B")),"Current Winner",""))</x:f>
      </x:c>
      <x:c r="M24" s="50"/>
      <x:c r="N24" s="50"/>
      <x:c r="O24" s="50"/>
      <x:c r="P24" s="50"/>
      <x:c r="Q24" s="50"/>
      <x:c r="R24" s="50"/>
      <x:c r="S24" s="50"/>
      <x:c r="T24" s="50"/>
      <x:c r="U24" s="50"/>
      <x:c r="V24" s="50"/>
      <x:c r="W24" s="50"/>
      <x:c r="X24" s="50"/>
      <x:c r="Y24" s="50"/>
      <x:c r="Z24" s="50"/>
    </x:row>
    <x:row r="25">
      <x:c r="A25" s="67"/>
      <x:c r="B25" s="50"/>
      <x:c r="C25" s="50"/>
      <x:c r="D25" s="50"/>
      <x:c r="E25" s="68"/>
      <x:c r="F25" s="50"/>
      <x:c r="G25" s="69"/>
      <x:c r="H25" s="69"/>
      <x:c r="I25" s="70" t="n">
        <x:f>IFERROR(H25/G25,0)</x:f>
        <x:v>0</x:v>
      </x:c>
      <x:c r="J25" s="68" t="n">
        <x:f>IFERROR(E25*H25,0)</x:f>
        <x:v>0</x:v>
      </x:c>
      <x:c r="K25" s="68" t="n">
        <x:f>IFERROR(J25/G25,0)</x:f>
        <x:v>0</x:v>
      </x:c>
      <x:c r="L25" s="50" t="str">
        <x:f>IF(B25="","",IF(J25=MAX(SUMIFS($J$2:$J$200,$B$2:$B$200,B25,$C$2:$C$200,C25,$D$2:$D$200,"A"),SUMIFS($J$2:$J$200,$B$2:$B$200,B25,$C$2:$C$200,C25,$D$2:$D$200,"B")),"Current Winner",""))</x:f>
      </x:c>
      <x:c r="M25" s="50"/>
      <x:c r="N25" s="50"/>
      <x:c r="O25" s="50"/>
      <x:c r="P25" s="50"/>
      <x:c r="Q25" s="50"/>
      <x:c r="R25" s="50"/>
      <x:c r="S25" s="50"/>
      <x:c r="T25" s="50"/>
      <x:c r="U25" s="50"/>
      <x:c r="V25" s="50"/>
      <x:c r="W25" s="50"/>
      <x:c r="X25" s="50"/>
      <x:c r="Y25" s="50"/>
      <x:c r="Z25" s="50"/>
    </x:row>
    <x:row r="26">
      <x:c r="A26" s="67"/>
      <x:c r="B26" s="50"/>
      <x:c r="C26" s="50"/>
      <x:c r="D26" s="50"/>
      <x:c r="E26" s="68"/>
      <x:c r="F26" s="50"/>
      <x:c r="G26" s="69"/>
      <x:c r="H26" s="69"/>
      <x:c r="I26" s="70" t="n">
        <x:f>IFERROR(H26/G26,0)</x:f>
        <x:v>0</x:v>
      </x:c>
      <x:c r="J26" s="68" t="n">
        <x:f>IFERROR(E26*H26,0)</x:f>
        <x:v>0</x:v>
      </x:c>
      <x:c r="K26" s="68" t="n">
        <x:f>IFERROR(J26/G26,0)</x:f>
        <x:v>0</x:v>
      </x:c>
      <x:c r="L26" s="50" t="str">
        <x:f>IF(B26="","",IF(J26=MAX(SUMIFS($J$2:$J$200,$B$2:$B$200,B26,$C$2:$C$200,C26,$D$2:$D$200,"A"),SUMIFS($J$2:$J$200,$B$2:$B$200,B26,$C$2:$C$200,C26,$D$2:$D$200,"B")),"Current Winner",""))</x:f>
      </x:c>
      <x:c r="M26" s="50"/>
      <x:c r="N26" s="50"/>
      <x:c r="O26" s="50"/>
      <x:c r="P26" s="50"/>
      <x:c r="Q26" s="50"/>
      <x:c r="R26" s="50"/>
      <x:c r="S26" s="50"/>
      <x:c r="T26" s="50"/>
      <x:c r="U26" s="50"/>
      <x:c r="V26" s="50"/>
      <x:c r="W26" s="50"/>
      <x:c r="X26" s="50"/>
      <x:c r="Y26" s="50"/>
      <x:c r="Z26" s="50"/>
    </x:row>
    <x:row r="27">
      <x:c r="A27" s="67"/>
      <x:c r="B27" s="50"/>
      <x:c r="C27" s="50"/>
      <x:c r="D27" s="50"/>
      <x:c r="E27" s="68"/>
      <x:c r="F27" s="50"/>
      <x:c r="G27" s="69"/>
      <x:c r="H27" s="69"/>
      <x:c r="I27" s="70" t="n">
        <x:f>IFERROR(H27/G27,0)</x:f>
        <x:v>0</x:v>
      </x:c>
      <x:c r="J27" s="68" t="n">
        <x:f>IFERROR(E27*H27,0)</x:f>
        <x:v>0</x:v>
      </x:c>
      <x:c r="K27" s="68" t="n">
        <x:f>IFERROR(J27/G27,0)</x:f>
        <x:v>0</x:v>
      </x:c>
      <x:c r="L27" s="50" t="str">
        <x:f>IF(B27="","",IF(J27=MAX(SUMIFS($J$2:$J$200,$B$2:$B$200,B27,$C$2:$C$200,C27,$D$2:$D$200,"A"),SUMIFS($J$2:$J$200,$B$2:$B$200,B27,$C$2:$C$200,C27,$D$2:$D$200,"B")),"Current Winner",""))</x:f>
      </x:c>
      <x:c r="M27" s="50"/>
      <x:c r="N27" s="50"/>
      <x:c r="O27" s="50"/>
      <x:c r="P27" s="50"/>
      <x:c r="Q27" s="50"/>
      <x:c r="R27" s="50"/>
      <x:c r="S27" s="50"/>
      <x:c r="T27" s="50"/>
      <x:c r="U27" s="50"/>
      <x:c r="V27" s="50"/>
      <x:c r="W27" s="50"/>
      <x:c r="X27" s="50"/>
      <x:c r="Y27" s="50"/>
      <x:c r="Z27" s="50"/>
    </x:row>
    <x:row r="28">
      <x:c r="A28" s="67"/>
      <x:c r="B28" s="50"/>
      <x:c r="C28" s="50"/>
      <x:c r="D28" s="50"/>
      <x:c r="E28" s="68"/>
      <x:c r="F28" s="50"/>
      <x:c r="G28" s="69"/>
      <x:c r="H28" s="69"/>
      <x:c r="I28" s="70" t="n">
        <x:f>IFERROR(H28/G28,0)</x:f>
        <x:v>0</x:v>
      </x:c>
      <x:c r="J28" s="68" t="n">
        <x:f>IFERROR(E28*H28,0)</x:f>
        <x:v>0</x:v>
      </x:c>
      <x:c r="K28" s="68" t="n">
        <x:f>IFERROR(J28/G28,0)</x:f>
        <x:v>0</x:v>
      </x:c>
      <x:c r="L28" s="50" t="str">
        <x:f>IF(B28="","",IF(J28=MAX(SUMIFS($J$2:$J$200,$B$2:$B$200,B28,$C$2:$C$200,C28,$D$2:$D$200,"A"),SUMIFS($J$2:$J$200,$B$2:$B$200,B28,$C$2:$C$200,C28,$D$2:$D$200,"B")),"Current Winner",""))</x:f>
      </x:c>
      <x:c r="M28" s="50"/>
      <x:c r="N28" s="50"/>
      <x:c r="O28" s="50"/>
      <x:c r="P28" s="50"/>
      <x:c r="Q28" s="50"/>
      <x:c r="R28" s="50"/>
      <x:c r="S28" s="50"/>
      <x:c r="T28" s="50"/>
      <x:c r="U28" s="50"/>
      <x:c r="V28" s="50"/>
      <x:c r="W28" s="50"/>
      <x:c r="X28" s="50"/>
      <x:c r="Y28" s="50"/>
      <x:c r="Z28" s="50"/>
    </x:row>
    <x:row r="29">
      <x:c r="A29" s="67"/>
      <x:c r="B29" s="50"/>
      <x:c r="C29" s="50"/>
      <x:c r="D29" s="50"/>
      <x:c r="E29" s="68"/>
      <x:c r="F29" s="50"/>
      <x:c r="G29" s="69"/>
      <x:c r="H29" s="69"/>
      <x:c r="I29" s="70" t="n">
        <x:f>IFERROR(H29/G29,0)</x:f>
        <x:v>0</x:v>
      </x:c>
      <x:c r="J29" s="68" t="n">
        <x:f>IFERROR(E29*H29,0)</x:f>
        <x:v>0</x:v>
      </x:c>
      <x:c r="K29" s="68" t="n">
        <x:f>IFERROR(J29/G29,0)</x:f>
        <x:v>0</x:v>
      </x:c>
      <x:c r="L29" s="50" t="str">
        <x:f>IF(B29="","",IF(J29=MAX(SUMIFS($J$2:$J$200,$B$2:$B$200,B29,$C$2:$C$200,C29,$D$2:$D$200,"A"),SUMIFS($J$2:$J$200,$B$2:$B$200,B29,$C$2:$C$200,C29,$D$2:$D$200,"B")),"Current Winner",""))</x:f>
      </x:c>
      <x:c r="M29" s="50"/>
      <x:c r="N29" s="50"/>
      <x:c r="O29" s="50"/>
      <x:c r="P29" s="50"/>
      <x:c r="Q29" s="50"/>
      <x:c r="R29" s="50"/>
      <x:c r="S29" s="50"/>
      <x:c r="T29" s="50"/>
      <x:c r="U29" s="50"/>
      <x:c r="V29" s="50"/>
      <x:c r="W29" s="50"/>
      <x:c r="X29" s="50"/>
      <x:c r="Y29" s="50"/>
      <x:c r="Z29" s="50"/>
    </x:row>
    <x:row r="30">
      <x:c r="A30" s="67"/>
      <x:c r="B30" s="50"/>
      <x:c r="C30" s="50"/>
      <x:c r="D30" s="50"/>
      <x:c r="E30" s="68"/>
      <x:c r="F30" s="50"/>
      <x:c r="G30" s="69"/>
      <x:c r="H30" s="69"/>
      <x:c r="I30" s="70" t="n">
        <x:f>IFERROR(H30/G30,0)</x:f>
        <x:v>0</x:v>
      </x:c>
      <x:c r="J30" s="68" t="n">
        <x:f>IFERROR(E30*H30,0)</x:f>
        <x:v>0</x:v>
      </x:c>
      <x:c r="K30" s="68" t="n">
        <x:f>IFERROR(J30/G30,0)</x:f>
        <x:v>0</x:v>
      </x:c>
      <x:c r="L30" s="50" t="str">
        <x:f>IF(B30="","",IF(J30=MAX(SUMIFS($J$2:$J$200,$B$2:$B$200,B30,$C$2:$C$200,C30,$D$2:$D$200,"A"),SUMIFS($J$2:$J$200,$B$2:$B$200,B30,$C$2:$C$200,C30,$D$2:$D$200,"B")),"Current Winner",""))</x:f>
      </x:c>
      <x:c r="M30" s="50"/>
      <x:c r="N30" s="50"/>
      <x:c r="O30" s="50"/>
      <x:c r="P30" s="50"/>
      <x:c r="Q30" s="50"/>
      <x:c r="R30" s="50"/>
      <x:c r="S30" s="50"/>
      <x:c r="T30" s="50"/>
      <x:c r="U30" s="50"/>
      <x:c r="V30" s="50"/>
      <x:c r="W30" s="50"/>
      <x:c r="X30" s="50"/>
      <x:c r="Y30" s="50"/>
      <x:c r="Z30" s="50"/>
    </x:row>
    <x:row r="31">
      <x:c r="A31" s="67"/>
      <x:c r="B31" s="50"/>
      <x:c r="C31" s="50"/>
      <x:c r="D31" s="50"/>
      <x:c r="E31" s="68"/>
      <x:c r="F31" s="50"/>
      <x:c r="G31" s="69"/>
      <x:c r="H31" s="69"/>
      <x:c r="I31" s="70" t="n">
        <x:f>IFERROR(H31/G31,0)</x:f>
        <x:v>0</x:v>
      </x:c>
      <x:c r="J31" s="68" t="n">
        <x:f>IFERROR(E31*H31,0)</x:f>
        <x:v>0</x:v>
      </x:c>
      <x:c r="K31" s="68" t="n">
        <x:f>IFERROR(J31/G31,0)</x:f>
        <x:v>0</x:v>
      </x:c>
      <x:c r="L31" s="50" t="str">
        <x:f>IF(B31="","",IF(J31=MAX(SUMIFS($J$2:$J$200,$B$2:$B$200,B31,$C$2:$C$200,C31,$D$2:$D$200,"A"),SUMIFS($J$2:$J$200,$B$2:$B$200,B31,$C$2:$C$200,C31,$D$2:$D$200,"B")),"Current Winner",""))</x:f>
      </x:c>
      <x:c r="M31" s="50"/>
      <x:c r="N31" s="50"/>
      <x:c r="O31" s="50"/>
      <x:c r="P31" s="50"/>
      <x:c r="Q31" s="50"/>
      <x:c r="R31" s="50"/>
      <x:c r="S31" s="50"/>
      <x:c r="T31" s="50"/>
      <x:c r="U31" s="50"/>
      <x:c r="V31" s="50"/>
      <x:c r="W31" s="50"/>
      <x:c r="X31" s="50"/>
      <x:c r="Y31" s="50"/>
      <x:c r="Z31" s="50"/>
    </x:row>
    <x:row r="32">
      <x:c r="A32" s="67"/>
      <x:c r="B32" s="50"/>
      <x:c r="C32" s="50"/>
      <x:c r="D32" s="50"/>
      <x:c r="E32" s="68"/>
      <x:c r="F32" s="50"/>
      <x:c r="G32" s="69"/>
      <x:c r="H32" s="69"/>
      <x:c r="I32" s="70" t="n">
        <x:f>IFERROR(H32/G32,0)</x:f>
        <x:v>0</x:v>
      </x:c>
      <x:c r="J32" s="68" t="n">
        <x:f>IFERROR(E32*H32,0)</x:f>
        <x:v>0</x:v>
      </x:c>
      <x:c r="K32" s="68" t="n">
        <x:f>IFERROR(J32/G32,0)</x:f>
        <x:v>0</x:v>
      </x:c>
      <x:c r="L32" s="50" t="str">
        <x:f>IF(B32="","",IF(J32=MAX(SUMIFS($J$2:$J$200,$B$2:$B$200,B32,$C$2:$C$200,C32,$D$2:$D$200,"A"),SUMIFS($J$2:$J$200,$B$2:$B$200,B32,$C$2:$C$200,C32,$D$2:$D$200,"B")),"Current Winner",""))</x:f>
      </x:c>
      <x:c r="M32" s="50"/>
      <x:c r="N32" s="50"/>
      <x:c r="O32" s="50"/>
      <x:c r="P32" s="50"/>
      <x:c r="Q32" s="50"/>
      <x:c r="R32" s="50"/>
      <x:c r="S32" s="50"/>
      <x:c r="T32" s="50"/>
      <x:c r="U32" s="50"/>
      <x:c r="V32" s="50"/>
      <x:c r="W32" s="50"/>
      <x:c r="X32" s="50"/>
      <x:c r="Y32" s="50"/>
      <x:c r="Z32" s="50"/>
    </x:row>
    <x:row r="33">
      <x:c r="A33" s="67"/>
      <x:c r="B33" s="50"/>
      <x:c r="C33" s="50"/>
      <x:c r="D33" s="50"/>
      <x:c r="E33" s="68"/>
      <x:c r="F33" s="50"/>
      <x:c r="G33" s="69"/>
      <x:c r="H33" s="69"/>
      <x:c r="I33" s="70" t="n">
        <x:f>IFERROR(H33/G33,0)</x:f>
        <x:v>0</x:v>
      </x:c>
      <x:c r="J33" s="68" t="n">
        <x:f>IFERROR(E33*H33,0)</x:f>
        <x:v>0</x:v>
      </x:c>
      <x:c r="K33" s="68" t="n">
        <x:f>IFERROR(J33/G33,0)</x:f>
        <x:v>0</x:v>
      </x:c>
      <x:c r="L33" s="50" t="str">
        <x:f>IF(B33="","",IF(J33=MAX(SUMIFS($J$2:$J$200,$B$2:$B$200,B33,$C$2:$C$200,C33,$D$2:$D$200,"A"),SUMIFS($J$2:$J$200,$B$2:$B$200,B33,$C$2:$C$200,C33,$D$2:$D$200,"B")),"Current Winner",""))</x:f>
      </x:c>
      <x:c r="M33" s="50"/>
      <x:c r="N33" s="50"/>
      <x:c r="O33" s="50"/>
      <x:c r="P33" s="50"/>
      <x:c r="Q33" s="50"/>
      <x:c r="R33" s="50"/>
      <x:c r="S33" s="50"/>
      <x:c r="T33" s="50"/>
      <x:c r="U33" s="50"/>
      <x:c r="V33" s="50"/>
      <x:c r="W33" s="50"/>
      <x:c r="X33" s="50"/>
      <x:c r="Y33" s="50"/>
      <x:c r="Z33" s="50"/>
    </x:row>
    <x:row r="34">
      <x:c r="A34" s="67"/>
      <x:c r="B34" s="50"/>
      <x:c r="C34" s="50"/>
      <x:c r="D34" s="50"/>
      <x:c r="E34" s="68"/>
      <x:c r="F34" s="50"/>
      <x:c r="G34" s="69"/>
      <x:c r="H34" s="69"/>
      <x:c r="I34" s="70" t="n">
        <x:f>IFERROR(H34/G34,0)</x:f>
        <x:v>0</x:v>
      </x:c>
      <x:c r="J34" s="68" t="n">
        <x:f>IFERROR(E34*H34,0)</x:f>
        <x:v>0</x:v>
      </x:c>
      <x:c r="K34" s="68" t="n">
        <x:f>IFERROR(J34/G34,0)</x:f>
        <x:v>0</x:v>
      </x:c>
      <x:c r="L34" s="50" t="str">
        <x:f>IF(B34="","",IF(J34=MAX(SUMIFS($J$2:$J$200,$B$2:$B$200,B34,$C$2:$C$200,C34,$D$2:$D$200,"A"),SUMIFS($J$2:$J$200,$B$2:$B$200,B34,$C$2:$C$200,C34,$D$2:$D$200,"B")),"Current Winner",""))</x:f>
      </x:c>
      <x:c r="M34" s="50"/>
      <x:c r="N34" s="50"/>
      <x:c r="O34" s="50"/>
      <x:c r="P34" s="50"/>
      <x:c r="Q34" s="50"/>
      <x:c r="R34" s="50"/>
      <x:c r="S34" s="50"/>
      <x:c r="T34" s="50"/>
      <x:c r="U34" s="50"/>
      <x:c r="V34" s="50"/>
      <x:c r="W34" s="50"/>
      <x:c r="X34" s="50"/>
      <x:c r="Y34" s="50"/>
      <x:c r="Z34" s="50"/>
    </x:row>
    <x:row r="35">
      <x:c r="A35" s="67"/>
      <x:c r="B35" s="50"/>
      <x:c r="C35" s="50"/>
      <x:c r="D35" s="50"/>
      <x:c r="E35" s="68"/>
      <x:c r="F35" s="50"/>
      <x:c r="G35" s="69"/>
      <x:c r="H35" s="69"/>
      <x:c r="I35" s="70" t="n">
        <x:f>IFERROR(H35/G35,0)</x:f>
        <x:v>0</x:v>
      </x:c>
      <x:c r="J35" s="68" t="n">
        <x:f>IFERROR(E35*H35,0)</x:f>
        <x:v>0</x:v>
      </x:c>
      <x:c r="K35" s="68" t="n">
        <x:f>IFERROR(J35/G35,0)</x:f>
        <x:v>0</x:v>
      </x:c>
      <x:c r="L35" s="50" t="str">
        <x:f>IF(B35="","",IF(J35=MAX(SUMIFS($J$2:$J$200,$B$2:$B$200,B35,$C$2:$C$200,C35,$D$2:$D$200,"A"),SUMIFS($J$2:$J$200,$B$2:$B$200,B35,$C$2:$C$200,C35,$D$2:$D$200,"B")),"Current Winner",""))</x:f>
      </x:c>
      <x:c r="M35" s="50"/>
      <x:c r="N35" s="50"/>
      <x:c r="O35" s="50"/>
      <x:c r="P35" s="50"/>
      <x:c r="Q35" s="50"/>
      <x:c r="R35" s="50"/>
      <x:c r="S35" s="50"/>
      <x:c r="T35" s="50"/>
      <x:c r="U35" s="50"/>
      <x:c r="V35" s="50"/>
      <x:c r="W35" s="50"/>
      <x:c r="X35" s="50"/>
      <x:c r="Y35" s="50"/>
      <x:c r="Z35" s="50"/>
    </x:row>
    <x:row r="36">
      <x:c r="A36" s="67"/>
      <x:c r="B36" s="50"/>
      <x:c r="C36" s="50"/>
      <x:c r="D36" s="50"/>
      <x:c r="E36" s="68"/>
      <x:c r="F36" s="50"/>
      <x:c r="G36" s="69"/>
      <x:c r="H36" s="69"/>
      <x:c r="I36" s="70" t="n">
        <x:f>IFERROR(H36/G36,0)</x:f>
        <x:v>0</x:v>
      </x:c>
      <x:c r="J36" s="68" t="n">
        <x:f>IFERROR(E36*H36,0)</x:f>
        <x:v>0</x:v>
      </x:c>
      <x:c r="K36" s="68" t="n">
        <x:f>IFERROR(J36/G36,0)</x:f>
        <x:v>0</x:v>
      </x:c>
      <x:c r="L36" s="50" t="str">
        <x:f>IF(B36="","",IF(J36=MAX(SUMIFS($J$2:$J$200,$B$2:$B$200,B36,$C$2:$C$200,C36,$D$2:$D$200,"A"),SUMIFS($J$2:$J$200,$B$2:$B$200,B36,$C$2:$C$200,C36,$D$2:$D$200,"B")),"Current Winner",""))</x:f>
      </x:c>
      <x:c r="M36" s="50"/>
      <x:c r="N36" s="50"/>
      <x:c r="O36" s="50"/>
      <x:c r="P36" s="50"/>
      <x:c r="Q36" s="50"/>
      <x:c r="R36" s="50"/>
      <x:c r="S36" s="50"/>
      <x:c r="T36" s="50"/>
      <x:c r="U36" s="50"/>
      <x:c r="V36" s="50"/>
      <x:c r="W36" s="50"/>
      <x:c r="X36" s="50"/>
      <x:c r="Y36" s="50"/>
      <x:c r="Z36" s="50"/>
    </x:row>
    <x:row r="37">
      <x:c r="A37" s="67"/>
      <x:c r="B37" s="50"/>
      <x:c r="C37" s="50"/>
      <x:c r="D37" s="50"/>
      <x:c r="E37" s="68"/>
      <x:c r="F37" s="50"/>
      <x:c r="G37" s="69"/>
      <x:c r="H37" s="69"/>
      <x:c r="I37" s="70" t="n">
        <x:f>IFERROR(H37/G37,0)</x:f>
        <x:v>0</x:v>
      </x:c>
      <x:c r="J37" s="68" t="n">
        <x:f>IFERROR(E37*H37,0)</x:f>
        <x:v>0</x:v>
      </x:c>
      <x:c r="K37" s="68" t="n">
        <x:f>IFERROR(J37/G37,0)</x:f>
        <x:v>0</x:v>
      </x:c>
      <x:c r="L37" s="50" t="str">
        <x:f>IF(B37="","",IF(J37=MAX(SUMIFS($J$2:$J$200,$B$2:$B$200,B37,$C$2:$C$200,C37,$D$2:$D$200,"A"),SUMIFS($J$2:$J$200,$B$2:$B$200,B37,$C$2:$C$200,C37,$D$2:$D$200,"B")),"Current Winner",""))</x:f>
      </x:c>
      <x:c r="M37" s="50"/>
      <x:c r="N37" s="50"/>
      <x:c r="O37" s="50"/>
      <x:c r="P37" s="50"/>
      <x:c r="Q37" s="50"/>
      <x:c r="R37" s="50"/>
      <x:c r="S37" s="50"/>
      <x:c r="T37" s="50"/>
      <x:c r="U37" s="50"/>
      <x:c r="V37" s="50"/>
      <x:c r="W37" s="50"/>
      <x:c r="X37" s="50"/>
      <x:c r="Y37" s="50"/>
      <x:c r="Z37" s="50"/>
    </x:row>
    <x:row r="38">
      <x:c r="A38" s="67"/>
      <x:c r="B38" s="50"/>
      <x:c r="C38" s="50"/>
      <x:c r="D38" s="50"/>
      <x:c r="E38" s="68"/>
      <x:c r="F38" s="50"/>
      <x:c r="G38" s="69"/>
      <x:c r="H38" s="69"/>
      <x:c r="I38" s="70" t="n">
        <x:f>IFERROR(H38/G38,0)</x:f>
        <x:v>0</x:v>
      </x:c>
      <x:c r="J38" s="68" t="n">
        <x:f>IFERROR(E38*H38,0)</x:f>
        <x:v>0</x:v>
      </x:c>
      <x:c r="K38" s="68" t="n">
        <x:f>IFERROR(J38/G38,0)</x:f>
        <x:v>0</x:v>
      </x:c>
      <x:c r="L38" s="50" t="str">
        <x:f>IF(B38="","",IF(J38=MAX(SUMIFS($J$2:$J$200,$B$2:$B$200,B38,$C$2:$C$200,C38,$D$2:$D$200,"A"),SUMIFS($J$2:$J$200,$B$2:$B$200,B38,$C$2:$C$200,C38,$D$2:$D$200,"B")),"Current Winner",""))</x:f>
      </x:c>
      <x:c r="M38" s="50"/>
      <x:c r="N38" s="50"/>
      <x:c r="O38" s="50"/>
      <x:c r="P38" s="50"/>
      <x:c r="Q38" s="50"/>
      <x:c r="R38" s="50"/>
      <x:c r="S38" s="50"/>
      <x:c r="T38" s="50"/>
      <x:c r="U38" s="50"/>
      <x:c r="V38" s="50"/>
      <x:c r="W38" s="50"/>
      <x:c r="X38" s="50"/>
      <x:c r="Y38" s="50"/>
      <x:c r="Z38" s="50"/>
    </x:row>
    <x:row r="39">
      <x:c r="A39" s="67"/>
      <x:c r="B39" s="50"/>
      <x:c r="C39" s="50"/>
      <x:c r="D39" s="50"/>
      <x:c r="E39" s="68"/>
      <x:c r="F39" s="50"/>
      <x:c r="G39" s="69"/>
      <x:c r="H39" s="69"/>
      <x:c r="I39" s="70" t="n">
        <x:f>IFERROR(H39/G39,0)</x:f>
        <x:v>0</x:v>
      </x:c>
      <x:c r="J39" s="68" t="n">
        <x:f>IFERROR(E39*H39,0)</x:f>
        <x:v>0</x:v>
      </x:c>
      <x:c r="K39" s="68" t="n">
        <x:f>IFERROR(J39/G39,0)</x:f>
        <x:v>0</x:v>
      </x:c>
      <x:c r="L39" s="50" t="str">
        <x:f>IF(B39="","",IF(J39=MAX(SUMIFS($J$2:$J$200,$B$2:$B$200,B39,$C$2:$C$200,C39,$D$2:$D$200,"A"),SUMIFS($J$2:$J$200,$B$2:$B$200,B39,$C$2:$C$200,C39,$D$2:$D$200,"B")),"Current Winner",""))</x:f>
      </x:c>
      <x:c r="M39" s="50"/>
      <x:c r="N39" s="50"/>
      <x:c r="O39" s="50"/>
      <x:c r="P39" s="50"/>
      <x:c r="Q39" s="50"/>
      <x:c r="R39" s="50"/>
      <x:c r="S39" s="50"/>
      <x:c r="T39" s="50"/>
      <x:c r="U39" s="50"/>
      <x:c r="V39" s="50"/>
      <x:c r="W39" s="50"/>
      <x:c r="X39" s="50"/>
      <x:c r="Y39" s="50"/>
      <x:c r="Z39" s="50"/>
    </x:row>
    <x:row r="40">
      <x:c r="A40" s="67"/>
      <x:c r="B40" s="50"/>
      <x:c r="C40" s="50"/>
      <x:c r="D40" s="50"/>
      <x:c r="E40" s="68"/>
      <x:c r="F40" s="50"/>
      <x:c r="G40" s="69"/>
      <x:c r="H40" s="69"/>
      <x:c r="I40" s="70" t="n">
        <x:f>IFERROR(H40/G40,0)</x:f>
        <x:v>0</x:v>
      </x:c>
      <x:c r="J40" s="68" t="n">
        <x:f>IFERROR(E40*H40,0)</x:f>
        <x:v>0</x:v>
      </x:c>
      <x:c r="K40" s="68" t="n">
        <x:f>IFERROR(J40/G40,0)</x:f>
        <x:v>0</x:v>
      </x:c>
      <x:c r="L40" s="50" t="str">
        <x:f>IF(B40="","",IF(J40=MAX(SUMIFS($J$2:$J$200,$B$2:$B$200,B40,$C$2:$C$200,C40,$D$2:$D$200,"A"),SUMIFS($J$2:$J$200,$B$2:$B$200,B40,$C$2:$C$200,C40,$D$2:$D$200,"B")),"Current Winner",""))</x:f>
      </x:c>
      <x:c r="M40" s="50"/>
      <x:c r="N40" s="50"/>
      <x:c r="O40" s="50"/>
      <x:c r="P40" s="50"/>
      <x:c r="Q40" s="50"/>
      <x:c r="R40" s="50"/>
      <x:c r="S40" s="50"/>
      <x:c r="T40" s="50"/>
      <x:c r="U40" s="50"/>
      <x:c r="V40" s="50"/>
      <x:c r="W40" s="50"/>
      <x:c r="X40" s="50"/>
      <x:c r="Y40" s="50"/>
      <x:c r="Z40" s="50"/>
    </x:row>
    <x:row r="41">
      <x:c r="A41" s="67"/>
      <x:c r="B41" s="50"/>
      <x:c r="C41" s="50"/>
      <x:c r="D41" s="50"/>
      <x:c r="E41" s="68"/>
      <x:c r="F41" s="50"/>
      <x:c r="G41" s="69"/>
      <x:c r="H41" s="69"/>
      <x:c r="I41" s="70" t="n">
        <x:f>IFERROR(H41/G41,0)</x:f>
        <x:v>0</x:v>
      </x:c>
      <x:c r="J41" s="68" t="n">
        <x:f>IFERROR(E41*H41,0)</x:f>
        <x:v>0</x:v>
      </x:c>
      <x:c r="K41" s="68" t="n">
        <x:f>IFERROR(J41/G41,0)</x:f>
        <x:v>0</x:v>
      </x:c>
      <x:c r="L41" s="50" t="str">
        <x:f>IF(B41="","",IF(J41=MAX(SUMIFS($J$2:$J$200,$B$2:$B$200,B41,$C$2:$C$200,C41,$D$2:$D$200,"A"),SUMIFS($J$2:$J$200,$B$2:$B$200,B41,$C$2:$C$200,C41,$D$2:$D$200,"B")),"Current Winner",""))</x:f>
      </x:c>
      <x:c r="M41" s="50"/>
      <x:c r="N41" s="50"/>
      <x:c r="O41" s="50"/>
      <x:c r="P41" s="50"/>
      <x:c r="Q41" s="50"/>
      <x:c r="R41" s="50"/>
      <x:c r="S41" s="50"/>
      <x:c r="T41" s="50"/>
      <x:c r="U41" s="50"/>
      <x:c r="V41" s="50"/>
      <x:c r="W41" s="50"/>
      <x:c r="X41" s="50"/>
      <x:c r="Y41" s="50"/>
      <x:c r="Z41" s="50"/>
    </x:row>
    <x:row r="42">
      <x:c r="A42" s="67"/>
      <x:c r="B42" s="50"/>
      <x:c r="C42" s="50"/>
      <x:c r="D42" s="50"/>
      <x:c r="E42" s="68"/>
      <x:c r="F42" s="50"/>
      <x:c r="G42" s="69"/>
      <x:c r="H42" s="69"/>
      <x:c r="I42" s="70" t="n">
        <x:f>IFERROR(H42/G42,0)</x:f>
        <x:v>0</x:v>
      </x:c>
      <x:c r="J42" s="68" t="n">
        <x:f>IFERROR(E42*H42,0)</x:f>
        <x:v>0</x:v>
      </x:c>
      <x:c r="K42" s="68" t="n">
        <x:f>IFERROR(J42/G42,0)</x:f>
        <x:v>0</x:v>
      </x:c>
      <x:c r="L42" s="50" t="str">
        <x:f>IF(B42="","",IF(J42=MAX(SUMIFS($J$2:$J$200,$B$2:$B$200,B42,$C$2:$C$200,C42,$D$2:$D$200,"A"),SUMIFS($J$2:$J$200,$B$2:$B$200,B42,$C$2:$C$200,C42,$D$2:$D$200,"B")),"Current Winner",""))</x:f>
      </x:c>
      <x:c r="M42" s="50"/>
      <x:c r="N42" s="50"/>
      <x:c r="O42" s="50"/>
      <x:c r="P42" s="50"/>
      <x:c r="Q42" s="50"/>
      <x:c r="R42" s="50"/>
      <x:c r="S42" s="50"/>
      <x:c r="T42" s="50"/>
      <x:c r="U42" s="50"/>
      <x:c r="V42" s="50"/>
      <x:c r="W42" s="50"/>
      <x:c r="X42" s="50"/>
      <x:c r="Y42" s="50"/>
      <x:c r="Z42" s="50"/>
    </x:row>
    <x:row r="43">
      <x:c r="A43" s="67"/>
      <x:c r="B43" s="50"/>
      <x:c r="C43" s="50"/>
      <x:c r="D43" s="50"/>
      <x:c r="E43" s="68"/>
      <x:c r="F43" s="50"/>
      <x:c r="G43" s="69"/>
      <x:c r="H43" s="69"/>
      <x:c r="I43" s="70" t="n">
        <x:f>IFERROR(H43/G43,0)</x:f>
        <x:v>0</x:v>
      </x:c>
      <x:c r="J43" s="68" t="n">
        <x:f>IFERROR(E43*H43,0)</x:f>
        <x:v>0</x:v>
      </x:c>
      <x:c r="K43" s="68" t="n">
        <x:f>IFERROR(J43/G43,0)</x:f>
        <x:v>0</x:v>
      </x:c>
      <x:c r="L43" s="50" t="str">
        <x:f>IF(B43="","",IF(J43=MAX(SUMIFS($J$2:$J$200,$B$2:$B$200,B43,$C$2:$C$200,C43,$D$2:$D$200,"A"),SUMIFS($J$2:$J$200,$B$2:$B$200,B43,$C$2:$C$200,C43,$D$2:$D$200,"B")),"Current Winner",""))</x:f>
      </x:c>
      <x:c r="M43" s="50"/>
      <x:c r="N43" s="50"/>
      <x:c r="O43" s="50"/>
      <x:c r="P43" s="50"/>
      <x:c r="Q43" s="50"/>
      <x:c r="R43" s="50"/>
      <x:c r="S43" s="50"/>
      <x:c r="T43" s="50"/>
      <x:c r="U43" s="50"/>
      <x:c r="V43" s="50"/>
      <x:c r="W43" s="50"/>
      <x:c r="X43" s="50"/>
      <x:c r="Y43" s="50"/>
      <x:c r="Z43" s="50"/>
    </x:row>
    <x:row r="44">
      <x:c r="A44" s="67"/>
      <x:c r="B44" s="50"/>
      <x:c r="C44" s="50"/>
      <x:c r="D44" s="50"/>
      <x:c r="E44" s="68"/>
      <x:c r="F44" s="50"/>
      <x:c r="G44" s="69"/>
      <x:c r="H44" s="69"/>
      <x:c r="I44" s="70" t="n">
        <x:f>IFERROR(H44/G44,0)</x:f>
        <x:v>0</x:v>
      </x:c>
      <x:c r="J44" s="68" t="n">
        <x:f>IFERROR(E44*H44,0)</x:f>
        <x:v>0</x:v>
      </x:c>
      <x:c r="K44" s="68" t="n">
        <x:f>IFERROR(J44/G44,0)</x:f>
        <x:v>0</x:v>
      </x:c>
      <x:c r="L44" s="50" t="str">
        <x:f>IF(B44="","",IF(J44=MAX(SUMIFS($J$2:$J$200,$B$2:$B$200,B44,$C$2:$C$200,C44,$D$2:$D$200,"A"),SUMIFS($J$2:$J$200,$B$2:$B$200,B44,$C$2:$C$200,C44,$D$2:$D$200,"B")),"Current Winner",""))</x:f>
      </x:c>
      <x:c r="M44" s="50"/>
      <x:c r="N44" s="50"/>
      <x:c r="O44" s="50"/>
      <x:c r="P44" s="50"/>
      <x:c r="Q44" s="50"/>
      <x:c r="R44" s="50"/>
      <x:c r="S44" s="50"/>
      <x:c r="T44" s="50"/>
      <x:c r="U44" s="50"/>
      <x:c r="V44" s="50"/>
      <x:c r="W44" s="50"/>
      <x:c r="X44" s="50"/>
      <x:c r="Y44" s="50"/>
      <x:c r="Z44" s="50"/>
    </x:row>
    <x:row r="45">
      <x:c r="A45" s="67"/>
      <x:c r="B45" s="50"/>
      <x:c r="C45" s="50"/>
      <x:c r="D45" s="50"/>
      <x:c r="E45" s="68"/>
      <x:c r="F45" s="50"/>
      <x:c r="G45" s="69"/>
      <x:c r="H45" s="69"/>
      <x:c r="I45" s="70" t="n">
        <x:f>IFERROR(H45/G45,0)</x:f>
        <x:v>0</x:v>
      </x:c>
      <x:c r="J45" s="68" t="n">
        <x:f>IFERROR(E45*H45,0)</x:f>
        <x:v>0</x:v>
      </x:c>
      <x:c r="K45" s="68" t="n">
        <x:f>IFERROR(J45/G45,0)</x:f>
        <x:v>0</x:v>
      </x:c>
      <x:c r="L45" s="50" t="str">
        <x:f>IF(B45="","",IF(J45=MAX(SUMIFS($J$2:$J$200,$B$2:$B$200,B45,$C$2:$C$200,C45,$D$2:$D$200,"A"),SUMIFS($J$2:$J$200,$B$2:$B$200,B45,$C$2:$C$200,C45,$D$2:$D$200,"B")),"Current Winner",""))</x:f>
      </x:c>
      <x:c r="M45" s="50"/>
      <x:c r="N45" s="50"/>
      <x:c r="O45" s="50"/>
      <x:c r="P45" s="50"/>
      <x:c r="Q45" s="50"/>
      <x:c r="R45" s="50"/>
      <x:c r="S45" s="50"/>
      <x:c r="T45" s="50"/>
      <x:c r="U45" s="50"/>
      <x:c r="V45" s="50"/>
      <x:c r="W45" s="50"/>
      <x:c r="X45" s="50"/>
      <x:c r="Y45" s="50"/>
      <x:c r="Z45" s="50"/>
    </x:row>
    <x:row r="46">
      <x:c r="A46" s="67"/>
      <x:c r="B46" s="50"/>
      <x:c r="C46" s="50"/>
      <x:c r="D46" s="50"/>
      <x:c r="E46" s="68"/>
      <x:c r="F46" s="50"/>
      <x:c r="G46" s="69"/>
      <x:c r="H46" s="69"/>
      <x:c r="I46" s="70" t="n">
        <x:f>IFERROR(H46/G46,0)</x:f>
        <x:v>0</x:v>
      </x:c>
      <x:c r="J46" s="68" t="n">
        <x:f>IFERROR(E46*H46,0)</x:f>
        <x:v>0</x:v>
      </x:c>
      <x:c r="K46" s="68" t="n">
        <x:f>IFERROR(J46/G46,0)</x:f>
        <x:v>0</x:v>
      </x:c>
      <x:c r="L46" s="50" t="str">
        <x:f>IF(B46="","",IF(J46=MAX(SUMIFS($J$2:$J$200,$B$2:$B$200,B46,$C$2:$C$200,C46,$D$2:$D$200,"A"),SUMIFS($J$2:$J$200,$B$2:$B$200,B46,$C$2:$C$200,C46,$D$2:$D$200,"B")),"Current Winner",""))</x:f>
      </x:c>
      <x:c r="M46" s="50"/>
      <x:c r="N46" s="50"/>
      <x:c r="O46" s="50"/>
      <x:c r="P46" s="50"/>
      <x:c r="Q46" s="50"/>
      <x:c r="R46" s="50"/>
      <x:c r="S46" s="50"/>
      <x:c r="T46" s="50"/>
      <x:c r="U46" s="50"/>
      <x:c r="V46" s="50"/>
      <x:c r="W46" s="50"/>
      <x:c r="X46" s="50"/>
      <x:c r="Y46" s="50"/>
      <x:c r="Z46" s="50"/>
    </x:row>
    <x:row r="47">
      <x:c r="A47" s="67"/>
      <x:c r="B47" s="50"/>
      <x:c r="C47" s="50"/>
      <x:c r="D47" s="50"/>
      <x:c r="E47" s="68"/>
      <x:c r="F47" s="50"/>
      <x:c r="G47" s="69"/>
      <x:c r="H47" s="69"/>
      <x:c r="I47" s="70" t="n">
        <x:f>IFERROR(H47/G47,0)</x:f>
        <x:v>0</x:v>
      </x:c>
      <x:c r="J47" s="68" t="n">
        <x:f>IFERROR(E47*H47,0)</x:f>
        <x:v>0</x:v>
      </x:c>
      <x:c r="K47" s="68" t="n">
        <x:f>IFERROR(J47/G47,0)</x:f>
        <x:v>0</x:v>
      </x:c>
      <x:c r="L47" s="50" t="str">
        <x:f>IF(B47="","",IF(J47=MAX(SUMIFS($J$2:$J$200,$B$2:$B$200,B47,$C$2:$C$200,C47,$D$2:$D$200,"A"),SUMIFS($J$2:$J$200,$B$2:$B$200,B47,$C$2:$C$200,C47,$D$2:$D$200,"B")),"Current Winner",""))</x:f>
      </x:c>
      <x:c r="M47" s="50"/>
      <x:c r="N47" s="50"/>
      <x:c r="O47" s="50"/>
      <x:c r="P47" s="50"/>
      <x:c r="Q47" s="50"/>
      <x:c r="R47" s="50"/>
      <x:c r="S47" s="50"/>
      <x:c r="T47" s="50"/>
      <x:c r="U47" s="50"/>
      <x:c r="V47" s="50"/>
      <x:c r="W47" s="50"/>
      <x:c r="X47" s="50"/>
      <x:c r="Y47" s="50"/>
      <x:c r="Z47" s="50"/>
    </x:row>
    <x:row r="48">
      <x:c r="A48" s="67"/>
      <x:c r="B48" s="50"/>
      <x:c r="C48" s="50"/>
      <x:c r="D48" s="50"/>
      <x:c r="E48" s="68"/>
      <x:c r="F48" s="50"/>
      <x:c r="G48" s="69"/>
      <x:c r="H48" s="69"/>
      <x:c r="I48" s="70" t="n">
        <x:f>IFERROR(H48/G48,0)</x:f>
        <x:v>0</x:v>
      </x:c>
      <x:c r="J48" s="68" t="n">
        <x:f>IFERROR(E48*H48,0)</x:f>
        <x:v>0</x:v>
      </x:c>
      <x:c r="K48" s="68" t="n">
        <x:f>IFERROR(J48/G48,0)</x:f>
        <x:v>0</x:v>
      </x:c>
      <x:c r="L48" s="50" t="str">
        <x:f>IF(B48="","",IF(J48=MAX(SUMIFS($J$2:$J$200,$B$2:$B$200,B48,$C$2:$C$200,C48,$D$2:$D$200,"A"),SUMIFS($J$2:$J$200,$B$2:$B$200,B48,$C$2:$C$200,C48,$D$2:$D$200,"B")),"Current Winner",""))</x:f>
      </x:c>
      <x:c r="M48" s="50"/>
      <x:c r="N48" s="50"/>
      <x:c r="O48" s="50"/>
      <x:c r="P48" s="50"/>
      <x:c r="Q48" s="50"/>
      <x:c r="R48" s="50"/>
      <x:c r="S48" s="50"/>
      <x:c r="T48" s="50"/>
      <x:c r="U48" s="50"/>
      <x:c r="V48" s="50"/>
      <x:c r="W48" s="50"/>
      <x:c r="X48" s="50"/>
      <x:c r="Y48" s="50"/>
      <x:c r="Z48" s="50"/>
    </x:row>
    <x:row r="49">
      <x:c r="A49" s="67"/>
      <x:c r="B49" s="50"/>
      <x:c r="C49" s="50"/>
      <x:c r="D49" s="50"/>
      <x:c r="E49" s="68"/>
      <x:c r="F49" s="50"/>
      <x:c r="G49" s="69"/>
      <x:c r="H49" s="69"/>
      <x:c r="I49" s="70" t="n">
        <x:f>IFERROR(H49/G49,0)</x:f>
        <x:v>0</x:v>
      </x:c>
      <x:c r="J49" s="68" t="n">
        <x:f>IFERROR(E49*H49,0)</x:f>
        <x:v>0</x:v>
      </x:c>
      <x:c r="K49" s="68" t="n">
        <x:f>IFERROR(J49/G49,0)</x:f>
        <x:v>0</x:v>
      </x:c>
      <x:c r="L49" s="50" t="str">
        <x:f>IF(B49="","",IF(J49=MAX(SUMIFS($J$2:$J$200,$B$2:$B$200,B49,$C$2:$C$200,C49,$D$2:$D$200,"A"),SUMIFS($J$2:$J$200,$B$2:$B$200,B49,$C$2:$C$200,C49,$D$2:$D$200,"B")),"Current Winner",""))</x:f>
      </x:c>
      <x:c r="M49" s="50"/>
      <x:c r="N49" s="50"/>
      <x:c r="O49" s="50"/>
      <x:c r="P49" s="50"/>
      <x:c r="Q49" s="50"/>
      <x:c r="R49" s="50"/>
      <x:c r="S49" s="50"/>
      <x:c r="T49" s="50"/>
      <x:c r="U49" s="50"/>
      <x:c r="V49" s="50"/>
      <x:c r="W49" s="50"/>
      <x:c r="X49" s="50"/>
      <x:c r="Y49" s="50"/>
      <x:c r="Z49" s="50"/>
    </x:row>
    <x:row r="50">
      <x:c r="A50" s="67"/>
      <x:c r="B50" s="50"/>
      <x:c r="C50" s="50"/>
      <x:c r="D50" s="50"/>
      <x:c r="E50" s="68"/>
      <x:c r="F50" s="50"/>
      <x:c r="G50" s="69"/>
      <x:c r="H50" s="69"/>
      <x:c r="I50" s="70" t="n">
        <x:f>IFERROR(H50/G50,0)</x:f>
        <x:v>0</x:v>
      </x:c>
      <x:c r="J50" s="68" t="n">
        <x:f>IFERROR(E50*H50,0)</x:f>
        <x:v>0</x:v>
      </x:c>
      <x:c r="K50" s="68" t="n">
        <x:f>IFERROR(J50/G50,0)</x:f>
        <x:v>0</x:v>
      </x:c>
      <x:c r="L50" s="50" t="str">
        <x:f>IF(B50="","",IF(J50=MAX(SUMIFS($J$2:$J$200,$B$2:$B$200,B50,$C$2:$C$200,C50,$D$2:$D$200,"A"),SUMIFS($J$2:$J$200,$B$2:$B$200,B50,$C$2:$C$200,C50,$D$2:$D$200,"B")),"Current Winner",""))</x:f>
      </x:c>
      <x:c r="M50" s="50"/>
      <x:c r="N50" s="50"/>
      <x:c r="O50" s="50"/>
      <x:c r="P50" s="50"/>
      <x:c r="Q50" s="50"/>
      <x:c r="R50" s="50"/>
      <x:c r="S50" s="50"/>
      <x:c r="T50" s="50"/>
      <x:c r="U50" s="50"/>
      <x:c r="V50" s="50"/>
      <x:c r="W50" s="50"/>
      <x:c r="X50" s="50"/>
      <x:c r="Y50" s="50"/>
      <x:c r="Z50" s="50"/>
    </x:row>
    <x:row r="51">
      <x:c r="A51" s="67"/>
      <x:c r="B51" s="50"/>
      <x:c r="C51" s="50"/>
      <x:c r="D51" s="50"/>
      <x:c r="E51" s="68"/>
      <x:c r="F51" s="50"/>
      <x:c r="G51" s="69"/>
      <x:c r="H51" s="69"/>
      <x:c r="I51" s="70" t="n">
        <x:f>IFERROR(H51/G51,0)</x:f>
        <x:v>0</x:v>
      </x:c>
      <x:c r="J51" s="68" t="n">
        <x:f>IFERROR(E51*H51,0)</x:f>
        <x:v>0</x:v>
      </x:c>
      <x:c r="K51" s="68" t="n">
        <x:f>IFERROR(J51/G51,0)</x:f>
        <x:v>0</x:v>
      </x:c>
      <x:c r="L51" s="50" t="str">
        <x:f>IF(B51="","",IF(J51=MAX(SUMIFS($J$2:$J$200,$B$2:$B$200,B51,$C$2:$C$200,C51,$D$2:$D$200,"A"),SUMIFS($J$2:$J$200,$B$2:$B$200,B51,$C$2:$C$200,C51,$D$2:$D$200,"B")),"Current Winner",""))</x:f>
      </x:c>
      <x:c r="M51" s="50"/>
      <x:c r="N51" s="50"/>
      <x:c r="O51" s="50"/>
      <x:c r="P51" s="50"/>
      <x:c r="Q51" s="50"/>
      <x:c r="R51" s="50"/>
      <x:c r="S51" s="50"/>
      <x:c r="T51" s="50"/>
      <x:c r="U51" s="50"/>
      <x:c r="V51" s="50"/>
      <x:c r="W51" s="50"/>
      <x:c r="X51" s="50"/>
      <x:c r="Y51" s="50"/>
      <x:c r="Z51" s="50"/>
    </x:row>
    <x:row r="52">
      <x:c r="A52" s="67"/>
      <x:c r="B52" s="50"/>
      <x:c r="C52" s="50"/>
      <x:c r="D52" s="50"/>
      <x:c r="E52" s="68"/>
      <x:c r="F52" s="50"/>
      <x:c r="G52" s="69"/>
      <x:c r="H52" s="69"/>
      <x:c r="I52" s="70" t="n">
        <x:f>IFERROR(H52/G52,0)</x:f>
        <x:v>0</x:v>
      </x:c>
      <x:c r="J52" s="68" t="n">
        <x:f>IFERROR(E52*H52,0)</x:f>
        <x:v>0</x:v>
      </x:c>
      <x:c r="K52" s="68" t="n">
        <x:f>IFERROR(J52/G52,0)</x:f>
        <x:v>0</x:v>
      </x:c>
      <x:c r="L52" s="50" t="str">
        <x:f>IF(B52="","",IF(J52=MAX(SUMIFS($J$2:$J$200,$B$2:$B$200,B52,$C$2:$C$200,C52,$D$2:$D$200,"A"),SUMIFS($J$2:$J$200,$B$2:$B$200,B52,$C$2:$C$200,C52,$D$2:$D$200,"B")),"Current Winner",""))</x:f>
      </x:c>
      <x:c r="M52" s="50"/>
      <x:c r="N52" s="50"/>
      <x:c r="O52" s="50"/>
      <x:c r="P52" s="50"/>
      <x:c r="Q52" s="50"/>
      <x:c r="R52" s="50"/>
      <x:c r="S52" s="50"/>
      <x:c r="T52" s="50"/>
      <x:c r="U52" s="50"/>
      <x:c r="V52" s="50"/>
      <x:c r="W52" s="50"/>
      <x:c r="X52" s="50"/>
      <x:c r="Y52" s="50"/>
      <x:c r="Z52" s="50"/>
    </x:row>
    <x:row r="53">
      <x:c r="A53" s="67"/>
      <x:c r="B53" s="50"/>
      <x:c r="C53" s="50"/>
      <x:c r="D53" s="50"/>
      <x:c r="E53" s="68"/>
      <x:c r="F53" s="50"/>
      <x:c r="G53" s="69"/>
      <x:c r="H53" s="69"/>
      <x:c r="I53" s="70" t="n">
        <x:f>IFERROR(H53/G53,0)</x:f>
        <x:v>0</x:v>
      </x:c>
      <x:c r="J53" s="68" t="n">
        <x:f>IFERROR(E53*H53,0)</x:f>
        <x:v>0</x:v>
      </x:c>
      <x:c r="K53" s="68" t="n">
        <x:f>IFERROR(J53/G53,0)</x:f>
        <x:v>0</x:v>
      </x:c>
      <x:c r="L53" s="50" t="str">
        <x:f>IF(B53="","",IF(J53=MAX(SUMIFS($J$2:$J$200,$B$2:$B$200,B53,$C$2:$C$200,C53,$D$2:$D$200,"A"),SUMIFS($J$2:$J$200,$B$2:$B$200,B53,$C$2:$C$200,C53,$D$2:$D$200,"B")),"Current Winner",""))</x:f>
      </x:c>
      <x:c r="M53" s="50"/>
      <x:c r="N53" s="50"/>
      <x:c r="O53" s="50"/>
      <x:c r="P53" s="50"/>
      <x:c r="Q53" s="50"/>
      <x:c r="R53" s="50"/>
      <x:c r="S53" s="50"/>
      <x:c r="T53" s="50"/>
      <x:c r="U53" s="50"/>
      <x:c r="V53" s="50"/>
      <x:c r="W53" s="50"/>
      <x:c r="X53" s="50"/>
      <x:c r="Y53" s="50"/>
      <x:c r="Z53" s="50"/>
    </x:row>
    <x:row r="54">
      <x:c r="A54" s="67"/>
      <x:c r="B54" s="50"/>
      <x:c r="C54" s="50"/>
      <x:c r="D54" s="50"/>
      <x:c r="E54" s="68"/>
      <x:c r="F54" s="50"/>
      <x:c r="G54" s="69"/>
      <x:c r="H54" s="69"/>
      <x:c r="I54" s="70" t="n">
        <x:f>IFERROR(H54/G54,0)</x:f>
        <x:v>0</x:v>
      </x:c>
      <x:c r="J54" s="68" t="n">
        <x:f>IFERROR(E54*H54,0)</x:f>
        <x:v>0</x:v>
      </x:c>
      <x:c r="K54" s="68" t="n">
        <x:f>IFERROR(J54/G54,0)</x:f>
        <x:v>0</x:v>
      </x:c>
      <x:c r="L54" s="50" t="str">
        <x:f>IF(B54="","",IF(J54=MAX(SUMIFS($J$2:$J$200,$B$2:$B$200,B54,$C$2:$C$200,C54,$D$2:$D$200,"A"),SUMIFS($J$2:$J$200,$B$2:$B$200,B54,$C$2:$C$200,C54,$D$2:$D$200,"B")),"Current Winner",""))</x:f>
      </x:c>
      <x:c r="M54" s="50"/>
      <x:c r="N54" s="50"/>
      <x:c r="O54" s="50"/>
      <x:c r="P54" s="50"/>
      <x:c r="Q54" s="50"/>
      <x:c r="R54" s="50"/>
      <x:c r="S54" s="50"/>
      <x:c r="T54" s="50"/>
      <x:c r="U54" s="50"/>
      <x:c r="V54" s="50"/>
      <x:c r="W54" s="50"/>
      <x:c r="X54" s="50"/>
      <x:c r="Y54" s="50"/>
      <x:c r="Z54" s="50"/>
    </x:row>
    <x:row r="55">
      <x:c r="A55" s="67"/>
      <x:c r="B55" s="50"/>
      <x:c r="C55" s="50"/>
      <x:c r="D55" s="50"/>
      <x:c r="E55" s="68"/>
      <x:c r="F55" s="50"/>
      <x:c r="G55" s="69"/>
      <x:c r="H55" s="69"/>
      <x:c r="I55" s="70" t="n">
        <x:f>IFERROR(H55/G55,0)</x:f>
        <x:v>0</x:v>
      </x:c>
      <x:c r="J55" s="68" t="n">
        <x:f>IFERROR(E55*H55,0)</x:f>
        <x:v>0</x:v>
      </x:c>
      <x:c r="K55" s="68" t="n">
        <x:f>IFERROR(J55/G55,0)</x:f>
        <x:v>0</x:v>
      </x:c>
      <x:c r="L55" s="50" t="str">
        <x:f>IF(B55="","",IF(J55=MAX(SUMIFS($J$2:$J$200,$B$2:$B$200,B55,$C$2:$C$200,C55,$D$2:$D$200,"A"),SUMIFS($J$2:$J$200,$B$2:$B$200,B55,$C$2:$C$200,C55,$D$2:$D$200,"B")),"Current Winner",""))</x:f>
      </x:c>
      <x:c r="M55" s="50"/>
      <x:c r="N55" s="50"/>
      <x:c r="O55" s="50"/>
      <x:c r="P55" s="50"/>
      <x:c r="Q55" s="50"/>
      <x:c r="R55" s="50"/>
      <x:c r="S55" s="50"/>
      <x:c r="T55" s="50"/>
      <x:c r="U55" s="50"/>
      <x:c r="V55" s="50"/>
      <x:c r="W55" s="50"/>
      <x:c r="X55" s="50"/>
      <x:c r="Y55" s="50"/>
      <x:c r="Z55" s="50"/>
    </x:row>
    <x:row r="56">
      <x:c r="A56" s="67"/>
      <x:c r="B56" s="50"/>
      <x:c r="C56" s="50"/>
      <x:c r="D56" s="50"/>
      <x:c r="E56" s="68"/>
      <x:c r="F56" s="50"/>
      <x:c r="G56" s="69"/>
      <x:c r="H56" s="69"/>
      <x:c r="I56" s="70" t="n">
        <x:f>IFERROR(H56/G56,0)</x:f>
        <x:v>0</x:v>
      </x:c>
      <x:c r="J56" s="68" t="n">
        <x:f>IFERROR(E56*H56,0)</x:f>
        <x:v>0</x:v>
      </x:c>
      <x:c r="K56" s="68" t="n">
        <x:f>IFERROR(J56/G56,0)</x:f>
        <x:v>0</x:v>
      </x:c>
      <x:c r="L56" s="50" t="str">
        <x:f>IF(B56="","",IF(J56=MAX(SUMIFS($J$2:$J$200,$B$2:$B$200,B56,$C$2:$C$200,C56,$D$2:$D$200,"A"),SUMIFS($J$2:$J$200,$B$2:$B$200,B56,$C$2:$C$200,C56,$D$2:$D$200,"B")),"Current Winner",""))</x:f>
      </x:c>
      <x:c r="M56" s="50"/>
      <x:c r="N56" s="50"/>
      <x:c r="O56" s="50"/>
      <x:c r="P56" s="50"/>
      <x:c r="Q56" s="50"/>
      <x:c r="R56" s="50"/>
      <x:c r="S56" s="50"/>
      <x:c r="T56" s="50"/>
      <x:c r="U56" s="50"/>
      <x:c r="V56" s="50"/>
      <x:c r="W56" s="50"/>
      <x:c r="X56" s="50"/>
      <x:c r="Y56" s="50"/>
      <x:c r="Z56" s="50"/>
    </x:row>
    <x:row r="57">
      <x:c r="A57" s="67"/>
      <x:c r="B57" s="50"/>
      <x:c r="C57" s="50"/>
      <x:c r="D57" s="50"/>
      <x:c r="E57" s="68"/>
      <x:c r="F57" s="50"/>
      <x:c r="G57" s="69"/>
      <x:c r="H57" s="69"/>
      <x:c r="I57" s="70" t="n">
        <x:f>IFERROR(H57/G57,0)</x:f>
        <x:v>0</x:v>
      </x:c>
      <x:c r="J57" s="68" t="n">
        <x:f>IFERROR(E57*H57,0)</x:f>
        <x:v>0</x:v>
      </x:c>
      <x:c r="K57" s="68" t="n">
        <x:f>IFERROR(J57/G57,0)</x:f>
        <x:v>0</x:v>
      </x:c>
      <x:c r="L57" s="50" t="str">
        <x:f>IF(B57="","",IF(J57=MAX(SUMIFS($J$2:$J$200,$B$2:$B$200,B57,$C$2:$C$200,C57,$D$2:$D$200,"A"),SUMIFS($J$2:$J$200,$B$2:$B$200,B57,$C$2:$C$200,C57,$D$2:$D$200,"B")),"Current Winner",""))</x:f>
      </x:c>
      <x:c r="M57" s="50"/>
      <x:c r="N57" s="50"/>
      <x:c r="O57" s="50"/>
      <x:c r="P57" s="50"/>
      <x:c r="Q57" s="50"/>
      <x:c r="R57" s="50"/>
      <x:c r="S57" s="50"/>
      <x:c r="T57" s="50"/>
      <x:c r="U57" s="50"/>
      <x:c r="V57" s="50"/>
      <x:c r="W57" s="50"/>
      <x:c r="X57" s="50"/>
      <x:c r="Y57" s="50"/>
      <x:c r="Z57" s="50"/>
    </x:row>
    <x:row r="58">
      <x:c r="A58" s="67"/>
      <x:c r="B58" s="50"/>
      <x:c r="C58" s="50"/>
      <x:c r="D58" s="50"/>
      <x:c r="E58" s="68"/>
      <x:c r="F58" s="50"/>
      <x:c r="G58" s="69"/>
      <x:c r="H58" s="69"/>
      <x:c r="I58" s="70" t="n">
        <x:f>IFERROR(H58/G58,0)</x:f>
        <x:v>0</x:v>
      </x:c>
      <x:c r="J58" s="68" t="n">
        <x:f>IFERROR(E58*H58,0)</x:f>
        <x:v>0</x:v>
      </x:c>
      <x:c r="K58" s="68" t="n">
        <x:f>IFERROR(J58/G58,0)</x:f>
        <x:v>0</x:v>
      </x:c>
      <x:c r="L58" s="50" t="str">
        <x:f>IF(B58="","",IF(J58=MAX(SUMIFS($J$2:$J$200,$B$2:$B$200,B58,$C$2:$C$200,C58,$D$2:$D$200,"A"),SUMIFS($J$2:$J$200,$B$2:$B$200,B58,$C$2:$C$200,C58,$D$2:$D$200,"B")),"Current Winner",""))</x:f>
      </x:c>
      <x:c r="M58" s="50"/>
      <x:c r="N58" s="50"/>
      <x:c r="O58" s="50"/>
      <x:c r="P58" s="50"/>
      <x:c r="Q58" s="50"/>
      <x:c r="R58" s="50"/>
      <x:c r="S58" s="50"/>
      <x:c r="T58" s="50"/>
      <x:c r="U58" s="50"/>
      <x:c r="V58" s="50"/>
      <x:c r="W58" s="50"/>
      <x:c r="X58" s="50"/>
      <x:c r="Y58" s="50"/>
      <x:c r="Z58" s="50"/>
    </x:row>
    <x:row r="59">
      <x:c r="A59" s="67"/>
      <x:c r="B59" s="50"/>
      <x:c r="C59" s="50"/>
      <x:c r="D59" s="50"/>
      <x:c r="E59" s="68"/>
      <x:c r="F59" s="50"/>
      <x:c r="G59" s="69"/>
      <x:c r="H59" s="69"/>
      <x:c r="I59" s="70" t="n">
        <x:f>IFERROR(H59/G59,0)</x:f>
        <x:v>0</x:v>
      </x:c>
      <x:c r="J59" s="68" t="n">
        <x:f>IFERROR(E59*H59,0)</x:f>
        <x:v>0</x:v>
      </x:c>
      <x:c r="K59" s="68" t="n">
        <x:f>IFERROR(J59/G59,0)</x:f>
        <x:v>0</x:v>
      </x:c>
      <x:c r="L59" s="50" t="str">
        <x:f>IF(B59="","",IF(J59=MAX(SUMIFS($J$2:$J$200,$B$2:$B$200,B59,$C$2:$C$200,C59,$D$2:$D$200,"A"),SUMIFS($J$2:$J$200,$B$2:$B$200,B59,$C$2:$C$200,C59,$D$2:$D$200,"B")),"Current Winner",""))</x:f>
      </x:c>
      <x:c r="M59" s="50"/>
      <x:c r="N59" s="50"/>
      <x:c r="O59" s="50"/>
      <x:c r="P59" s="50"/>
      <x:c r="Q59" s="50"/>
      <x:c r="R59" s="50"/>
      <x:c r="S59" s="50"/>
      <x:c r="T59" s="50"/>
      <x:c r="U59" s="50"/>
      <x:c r="V59" s="50"/>
      <x:c r="W59" s="50"/>
      <x:c r="X59" s="50"/>
      <x:c r="Y59" s="50"/>
      <x:c r="Z59" s="50"/>
    </x:row>
    <x:row r="60">
      <x:c r="A60" s="67"/>
      <x:c r="B60" s="50"/>
      <x:c r="C60" s="50"/>
      <x:c r="D60" s="50"/>
      <x:c r="E60" s="68"/>
      <x:c r="F60" s="50"/>
      <x:c r="G60" s="69"/>
      <x:c r="H60" s="69"/>
      <x:c r="I60" s="70" t="n">
        <x:f>IFERROR(H60/G60,0)</x:f>
        <x:v>0</x:v>
      </x:c>
      <x:c r="J60" s="68" t="n">
        <x:f>IFERROR(E60*H60,0)</x:f>
        <x:v>0</x:v>
      </x:c>
      <x:c r="K60" s="68" t="n">
        <x:f>IFERROR(J60/G60,0)</x:f>
        <x:v>0</x:v>
      </x:c>
      <x:c r="L60" s="50" t="str">
        <x:f>IF(B60="","",IF(J60=MAX(SUMIFS($J$2:$J$200,$B$2:$B$200,B60,$C$2:$C$200,C60,$D$2:$D$200,"A"),SUMIFS($J$2:$J$200,$B$2:$B$200,B60,$C$2:$C$200,C60,$D$2:$D$200,"B")),"Current Winner",""))</x:f>
      </x:c>
      <x:c r="M60" s="50"/>
      <x:c r="N60" s="50"/>
      <x:c r="O60" s="50"/>
      <x:c r="P60" s="50"/>
      <x:c r="Q60" s="50"/>
      <x:c r="R60" s="50"/>
      <x:c r="S60" s="50"/>
      <x:c r="T60" s="50"/>
      <x:c r="U60" s="50"/>
      <x:c r="V60" s="50"/>
      <x:c r="W60" s="50"/>
      <x:c r="X60" s="50"/>
      <x:c r="Y60" s="50"/>
      <x:c r="Z60" s="50"/>
    </x:row>
    <x:row r="61">
      <x:c r="A61" s="67"/>
      <x:c r="B61" s="50"/>
      <x:c r="C61" s="50"/>
      <x:c r="D61" s="50"/>
      <x:c r="E61" s="68"/>
      <x:c r="F61" s="50"/>
      <x:c r="G61" s="69"/>
      <x:c r="H61" s="69"/>
      <x:c r="I61" s="70" t="n">
        <x:f>IFERROR(H61/G61,0)</x:f>
        <x:v>0</x:v>
      </x:c>
      <x:c r="J61" s="68" t="n">
        <x:f>IFERROR(E61*H61,0)</x:f>
        <x:v>0</x:v>
      </x:c>
      <x:c r="K61" s="68" t="n">
        <x:f>IFERROR(J61/G61,0)</x:f>
        <x:v>0</x:v>
      </x:c>
      <x:c r="L61" s="50" t="str">
        <x:f>IF(B61="","",IF(J61=MAX(SUMIFS($J$2:$J$200,$B$2:$B$200,B61,$C$2:$C$200,C61,$D$2:$D$200,"A"),SUMIFS($J$2:$J$200,$B$2:$B$200,B61,$C$2:$C$200,C61,$D$2:$D$200,"B")),"Current Winner",""))</x:f>
      </x:c>
      <x:c r="M61" s="50"/>
      <x:c r="N61" s="50"/>
      <x:c r="O61" s="50"/>
      <x:c r="P61" s="50"/>
      <x:c r="Q61" s="50"/>
      <x:c r="R61" s="50"/>
      <x:c r="S61" s="50"/>
      <x:c r="T61" s="50"/>
      <x:c r="U61" s="50"/>
      <x:c r="V61" s="50"/>
      <x:c r="W61" s="50"/>
      <x:c r="X61" s="50"/>
      <x:c r="Y61" s="50"/>
      <x:c r="Z61" s="50"/>
    </x:row>
    <x:row r="62">
      <x:c r="A62" s="67"/>
      <x:c r="B62" s="50"/>
      <x:c r="C62" s="50"/>
      <x:c r="D62" s="50"/>
      <x:c r="E62" s="68"/>
      <x:c r="F62" s="50"/>
      <x:c r="G62" s="69"/>
      <x:c r="H62" s="69"/>
      <x:c r="I62" s="70" t="n">
        <x:f>IFERROR(H62/G62,0)</x:f>
        <x:v>0</x:v>
      </x:c>
      <x:c r="J62" s="68" t="n">
        <x:f>IFERROR(E62*H62,0)</x:f>
        <x:v>0</x:v>
      </x:c>
      <x:c r="K62" s="68" t="n">
        <x:f>IFERROR(J62/G62,0)</x:f>
        <x:v>0</x:v>
      </x:c>
      <x:c r="L62" s="50" t="str">
        <x:f>IF(B62="","",IF(J62=MAX(SUMIFS($J$2:$J$200,$B$2:$B$200,B62,$C$2:$C$200,C62,$D$2:$D$200,"A"),SUMIFS($J$2:$J$200,$B$2:$B$200,B62,$C$2:$C$200,C62,$D$2:$D$200,"B")),"Current Winner",""))</x:f>
      </x:c>
      <x:c r="M62" s="50"/>
      <x:c r="N62" s="50"/>
      <x:c r="O62" s="50"/>
      <x:c r="P62" s="50"/>
      <x:c r="Q62" s="50"/>
      <x:c r="R62" s="50"/>
      <x:c r="S62" s="50"/>
      <x:c r="T62" s="50"/>
      <x:c r="U62" s="50"/>
      <x:c r="V62" s="50"/>
      <x:c r="W62" s="50"/>
      <x:c r="X62" s="50"/>
      <x:c r="Y62" s="50"/>
      <x:c r="Z62" s="50"/>
    </x:row>
    <x:row r="63">
      <x:c r="A63" s="67"/>
      <x:c r="B63" s="50"/>
      <x:c r="C63" s="50"/>
      <x:c r="D63" s="50"/>
      <x:c r="E63" s="68"/>
      <x:c r="F63" s="50"/>
      <x:c r="G63" s="69"/>
      <x:c r="H63" s="69"/>
      <x:c r="I63" s="70" t="n">
        <x:f>IFERROR(H63/G63,0)</x:f>
        <x:v>0</x:v>
      </x:c>
      <x:c r="J63" s="68" t="n">
        <x:f>IFERROR(E63*H63,0)</x:f>
        <x:v>0</x:v>
      </x:c>
      <x:c r="K63" s="68" t="n">
        <x:f>IFERROR(J63/G63,0)</x:f>
        <x:v>0</x:v>
      </x:c>
      <x:c r="L63" s="50" t="str">
        <x:f>IF(B63="","",IF(J63=MAX(SUMIFS($J$2:$J$200,$B$2:$B$200,B63,$C$2:$C$200,C63,$D$2:$D$200,"A"),SUMIFS($J$2:$J$200,$B$2:$B$200,B63,$C$2:$C$200,C63,$D$2:$D$200,"B")),"Current Winner",""))</x:f>
      </x:c>
      <x:c r="M63" s="50"/>
      <x:c r="N63" s="50"/>
      <x:c r="O63" s="50"/>
      <x:c r="P63" s="50"/>
      <x:c r="Q63" s="50"/>
      <x:c r="R63" s="50"/>
      <x:c r="S63" s="50"/>
      <x:c r="T63" s="50"/>
      <x:c r="U63" s="50"/>
      <x:c r="V63" s="50"/>
      <x:c r="W63" s="50"/>
      <x:c r="X63" s="50"/>
      <x:c r="Y63" s="50"/>
      <x:c r="Z63" s="50"/>
    </x:row>
    <x:row r="64">
      <x:c r="A64" s="67"/>
      <x:c r="B64" s="50"/>
      <x:c r="C64" s="50"/>
      <x:c r="D64" s="50"/>
      <x:c r="E64" s="68"/>
      <x:c r="F64" s="50"/>
      <x:c r="G64" s="69"/>
      <x:c r="H64" s="69"/>
      <x:c r="I64" s="70" t="n">
        <x:f>IFERROR(H64/G64,0)</x:f>
        <x:v>0</x:v>
      </x:c>
      <x:c r="J64" s="68" t="n">
        <x:f>IFERROR(E64*H64,0)</x:f>
        <x:v>0</x:v>
      </x:c>
      <x:c r="K64" s="68" t="n">
        <x:f>IFERROR(J64/G64,0)</x:f>
        <x:v>0</x:v>
      </x:c>
      <x:c r="L64" s="50" t="str">
        <x:f>IF(B64="","",IF(J64=MAX(SUMIFS($J$2:$J$200,$B$2:$B$200,B64,$C$2:$C$200,C64,$D$2:$D$200,"A"),SUMIFS($J$2:$J$200,$B$2:$B$200,B64,$C$2:$C$200,C64,$D$2:$D$200,"B")),"Current Winner",""))</x:f>
      </x:c>
      <x:c r="M64" s="50"/>
      <x:c r="N64" s="50"/>
      <x:c r="O64" s="50"/>
      <x:c r="P64" s="50"/>
      <x:c r="Q64" s="50"/>
      <x:c r="R64" s="50"/>
      <x:c r="S64" s="50"/>
      <x:c r="T64" s="50"/>
      <x:c r="U64" s="50"/>
      <x:c r="V64" s="50"/>
      <x:c r="W64" s="50"/>
      <x:c r="X64" s="50"/>
      <x:c r="Y64" s="50"/>
      <x:c r="Z64" s="50"/>
    </x:row>
    <x:row r="65">
      <x:c r="A65" s="67"/>
      <x:c r="B65" s="50"/>
      <x:c r="C65" s="50"/>
      <x:c r="D65" s="50"/>
      <x:c r="E65" s="68"/>
      <x:c r="F65" s="50"/>
      <x:c r="G65" s="69"/>
      <x:c r="H65" s="69"/>
      <x:c r="I65" s="70" t="n">
        <x:f>IFERROR(H65/G65,0)</x:f>
        <x:v>0</x:v>
      </x:c>
      <x:c r="J65" s="68" t="n">
        <x:f>IFERROR(E65*H65,0)</x:f>
        <x:v>0</x:v>
      </x:c>
      <x:c r="K65" s="68" t="n">
        <x:f>IFERROR(J65/G65,0)</x:f>
        <x:v>0</x:v>
      </x:c>
      <x:c r="L65" s="50" t="str">
        <x:f>IF(B65="","",IF(J65=MAX(SUMIFS($J$2:$J$200,$B$2:$B$200,B65,$C$2:$C$200,C65,$D$2:$D$200,"A"),SUMIFS($J$2:$J$200,$B$2:$B$200,B65,$C$2:$C$200,C65,$D$2:$D$200,"B")),"Current Winner",""))</x:f>
      </x:c>
      <x:c r="M65" s="50"/>
      <x:c r="N65" s="50"/>
      <x:c r="O65" s="50"/>
      <x:c r="P65" s="50"/>
      <x:c r="Q65" s="50"/>
      <x:c r="R65" s="50"/>
      <x:c r="S65" s="50"/>
      <x:c r="T65" s="50"/>
      <x:c r="U65" s="50"/>
      <x:c r="V65" s="50"/>
      <x:c r="W65" s="50"/>
      <x:c r="X65" s="50"/>
      <x:c r="Y65" s="50"/>
      <x:c r="Z65" s="50"/>
    </x:row>
    <x:row r="66">
      <x:c r="A66" s="67"/>
      <x:c r="B66" s="50"/>
      <x:c r="C66" s="50"/>
      <x:c r="D66" s="50"/>
      <x:c r="E66" s="68"/>
      <x:c r="F66" s="50"/>
      <x:c r="G66" s="69"/>
      <x:c r="H66" s="69"/>
      <x:c r="I66" s="70" t="n">
        <x:f>IFERROR(H66/G66,0)</x:f>
        <x:v>0</x:v>
      </x:c>
      <x:c r="J66" s="68" t="n">
        <x:f>IFERROR(E66*H66,0)</x:f>
        <x:v>0</x:v>
      </x:c>
      <x:c r="K66" s="68" t="n">
        <x:f>IFERROR(J66/G66,0)</x:f>
        <x:v>0</x:v>
      </x:c>
      <x:c r="L66" s="50" t="str">
        <x:f>IF(B66="","",IF(J66=MAX(SUMIFS($J$2:$J$200,$B$2:$B$200,B66,$C$2:$C$200,C66,$D$2:$D$200,"A"),SUMIFS($J$2:$J$200,$B$2:$B$200,B66,$C$2:$C$200,C66,$D$2:$D$200,"B")),"Current Winner",""))</x:f>
      </x:c>
      <x:c r="M66" s="50"/>
      <x:c r="N66" s="50"/>
      <x:c r="O66" s="50"/>
      <x:c r="P66" s="50"/>
      <x:c r="Q66" s="50"/>
      <x:c r="R66" s="50"/>
      <x:c r="S66" s="50"/>
      <x:c r="T66" s="50"/>
      <x:c r="U66" s="50"/>
      <x:c r="V66" s="50"/>
      <x:c r="W66" s="50"/>
      <x:c r="X66" s="50"/>
      <x:c r="Y66" s="50"/>
      <x:c r="Z66" s="50"/>
    </x:row>
    <x:row r="67">
      <x:c r="A67" s="67"/>
      <x:c r="B67" s="50"/>
      <x:c r="C67" s="50"/>
      <x:c r="D67" s="50"/>
      <x:c r="E67" s="68"/>
      <x:c r="F67" s="50"/>
      <x:c r="G67" s="69"/>
      <x:c r="H67" s="69"/>
      <x:c r="I67" s="70" t="n">
        <x:f>IFERROR(H67/G67,0)</x:f>
        <x:v>0</x:v>
      </x:c>
      <x:c r="J67" s="68" t="n">
        <x:f>IFERROR(E67*H67,0)</x:f>
        <x:v>0</x:v>
      </x:c>
      <x:c r="K67" s="68" t="n">
        <x:f>IFERROR(J67/G67,0)</x:f>
        <x:v>0</x:v>
      </x:c>
      <x:c r="L67" s="50" t="str">
        <x:f>IF(B67="","",IF(J67=MAX(SUMIFS($J$2:$J$200,$B$2:$B$200,B67,$C$2:$C$200,C67,$D$2:$D$200,"A"),SUMIFS($J$2:$J$200,$B$2:$B$200,B67,$C$2:$C$200,C67,$D$2:$D$200,"B")),"Current Winner",""))</x:f>
      </x:c>
      <x:c r="M67" s="50"/>
      <x:c r="N67" s="50"/>
      <x:c r="O67" s="50"/>
      <x:c r="P67" s="50"/>
      <x:c r="Q67" s="50"/>
      <x:c r="R67" s="50"/>
      <x:c r="S67" s="50"/>
      <x:c r="T67" s="50"/>
      <x:c r="U67" s="50"/>
      <x:c r="V67" s="50"/>
      <x:c r="W67" s="50"/>
      <x:c r="X67" s="50"/>
      <x:c r="Y67" s="50"/>
      <x:c r="Z67" s="50"/>
    </x:row>
    <x:row r="68">
      <x:c r="A68" s="67"/>
      <x:c r="B68" s="50"/>
      <x:c r="C68" s="50"/>
      <x:c r="D68" s="50"/>
      <x:c r="E68" s="68"/>
      <x:c r="F68" s="50"/>
      <x:c r="G68" s="69"/>
      <x:c r="H68" s="69"/>
      <x:c r="I68" s="70" t="n">
        <x:f>IFERROR(H68/G68,0)</x:f>
        <x:v>0</x:v>
      </x:c>
      <x:c r="J68" s="68" t="n">
        <x:f>IFERROR(E68*H68,0)</x:f>
        <x:v>0</x:v>
      </x:c>
      <x:c r="K68" s="68" t="n">
        <x:f>IFERROR(J68/G68,0)</x:f>
        <x:v>0</x:v>
      </x:c>
      <x:c r="L68" s="50" t="str">
        <x:f>IF(B68="","",IF(J68=MAX(SUMIFS($J$2:$J$200,$B$2:$B$200,B68,$C$2:$C$200,C68,$D$2:$D$200,"A"),SUMIFS($J$2:$J$200,$B$2:$B$200,B68,$C$2:$C$200,C68,$D$2:$D$200,"B")),"Current Winner",""))</x:f>
      </x:c>
      <x:c r="M68" s="50"/>
      <x:c r="N68" s="50"/>
      <x:c r="O68" s="50"/>
      <x:c r="P68" s="50"/>
      <x:c r="Q68" s="50"/>
      <x:c r="R68" s="50"/>
      <x:c r="S68" s="50"/>
      <x:c r="T68" s="50"/>
      <x:c r="U68" s="50"/>
      <x:c r="V68" s="50"/>
      <x:c r="W68" s="50"/>
      <x:c r="X68" s="50"/>
      <x:c r="Y68" s="50"/>
      <x:c r="Z68" s="50"/>
    </x:row>
    <x:row r="69">
      <x:c r="A69" s="67"/>
      <x:c r="B69" s="50"/>
      <x:c r="C69" s="50"/>
      <x:c r="D69" s="50"/>
      <x:c r="E69" s="68"/>
      <x:c r="F69" s="50"/>
      <x:c r="G69" s="69"/>
      <x:c r="H69" s="69"/>
      <x:c r="I69" s="70" t="n">
        <x:f>IFERROR(H69/G69,0)</x:f>
        <x:v>0</x:v>
      </x:c>
      <x:c r="J69" s="68" t="n">
        <x:f>IFERROR(E69*H69,0)</x:f>
        <x:v>0</x:v>
      </x:c>
      <x:c r="K69" s="68" t="n">
        <x:f>IFERROR(J69/G69,0)</x:f>
        <x:v>0</x:v>
      </x:c>
      <x:c r="L69" s="50" t="str">
        <x:f>IF(B69="","",IF(J69=MAX(SUMIFS($J$2:$J$200,$B$2:$B$200,B69,$C$2:$C$200,C69,$D$2:$D$200,"A"),SUMIFS($J$2:$J$200,$B$2:$B$200,B69,$C$2:$C$200,C69,$D$2:$D$200,"B")),"Current Winner",""))</x:f>
      </x:c>
      <x:c r="M69" s="50"/>
      <x:c r="N69" s="50"/>
      <x:c r="O69" s="50"/>
      <x:c r="P69" s="50"/>
      <x:c r="Q69" s="50"/>
      <x:c r="R69" s="50"/>
      <x:c r="S69" s="50"/>
      <x:c r="T69" s="50"/>
      <x:c r="U69" s="50"/>
      <x:c r="V69" s="50"/>
      <x:c r="W69" s="50"/>
      <x:c r="X69" s="50"/>
      <x:c r="Y69" s="50"/>
      <x:c r="Z69" s="50"/>
    </x:row>
    <x:row r="70">
      <x:c r="A70" s="67"/>
      <x:c r="B70" s="50"/>
      <x:c r="C70" s="50"/>
      <x:c r="D70" s="50"/>
      <x:c r="E70" s="68"/>
      <x:c r="F70" s="50"/>
      <x:c r="G70" s="69"/>
      <x:c r="H70" s="69"/>
      <x:c r="I70" s="70" t="n">
        <x:f>IFERROR(H70/G70,0)</x:f>
        <x:v>0</x:v>
      </x:c>
      <x:c r="J70" s="68" t="n">
        <x:f>IFERROR(E70*H70,0)</x:f>
        <x:v>0</x:v>
      </x:c>
      <x:c r="K70" s="68" t="n">
        <x:f>IFERROR(J70/G70,0)</x:f>
        <x:v>0</x:v>
      </x:c>
      <x:c r="L70" s="50" t="str">
        <x:f>IF(B70="","",IF(J70=MAX(SUMIFS($J$2:$J$200,$B$2:$B$200,B70,$C$2:$C$200,C70,$D$2:$D$200,"A"),SUMIFS($J$2:$J$200,$B$2:$B$200,B70,$C$2:$C$200,C70,$D$2:$D$200,"B")),"Current Winner",""))</x:f>
      </x:c>
      <x:c r="M70" s="50"/>
      <x:c r="N70" s="50"/>
      <x:c r="O70" s="50"/>
      <x:c r="P70" s="50"/>
      <x:c r="Q70" s="50"/>
      <x:c r="R70" s="50"/>
      <x:c r="S70" s="50"/>
      <x:c r="T70" s="50"/>
      <x:c r="U70" s="50"/>
      <x:c r="V70" s="50"/>
      <x:c r="W70" s="50"/>
      <x:c r="X70" s="50"/>
      <x:c r="Y70" s="50"/>
      <x:c r="Z70" s="50"/>
    </x:row>
    <x:row r="71">
      <x:c r="A71" s="67"/>
      <x:c r="B71" s="50"/>
      <x:c r="C71" s="50"/>
      <x:c r="D71" s="50"/>
      <x:c r="E71" s="68"/>
      <x:c r="F71" s="50"/>
      <x:c r="G71" s="69"/>
      <x:c r="H71" s="69"/>
      <x:c r="I71" s="70" t="n">
        <x:f>IFERROR(H71/G71,0)</x:f>
        <x:v>0</x:v>
      </x:c>
      <x:c r="J71" s="68" t="n">
        <x:f>IFERROR(E71*H71,0)</x:f>
        <x:v>0</x:v>
      </x:c>
      <x:c r="K71" s="68" t="n">
        <x:f>IFERROR(J71/G71,0)</x:f>
        <x:v>0</x:v>
      </x:c>
      <x:c r="L71" s="50" t="str">
        <x:f>IF(B71="","",IF(J71=MAX(SUMIFS($J$2:$J$200,$B$2:$B$200,B71,$C$2:$C$200,C71,$D$2:$D$200,"A"),SUMIFS($J$2:$J$200,$B$2:$B$200,B71,$C$2:$C$200,C71,$D$2:$D$200,"B")),"Current Winner",""))</x:f>
      </x:c>
      <x:c r="M71" s="50"/>
      <x:c r="N71" s="50"/>
      <x:c r="O71" s="50"/>
      <x:c r="P71" s="50"/>
      <x:c r="Q71" s="50"/>
      <x:c r="R71" s="50"/>
      <x:c r="S71" s="50"/>
      <x:c r="T71" s="50"/>
      <x:c r="U71" s="50"/>
      <x:c r="V71" s="50"/>
      <x:c r="W71" s="50"/>
      <x:c r="X71" s="50"/>
      <x:c r="Y71" s="50"/>
      <x:c r="Z71" s="50"/>
    </x:row>
    <x:row r="72">
      <x:c r="A72" s="67"/>
      <x:c r="B72" s="50"/>
      <x:c r="C72" s="50"/>
      <x:c r="D72" s="50"/>
      <x:c r="E72" s="68"/>
      <x:c r="F72" s="50"/>
      <x:c r="G72" s="69"/>
      <x:c r="H72" s="69"/>
      <x:c r="I72" s="70" t="n">
        <x:f>IFERROR(H72/G72,0)</x:f>
        <x:v>0</x:v>
      </x:c>
      <x:c r="J72" s="68" t="n">
        <x:f>IFERROR(E72*H72,0)</x:f>
        <x:v>0</x:v>
      </x:c>
      <x:c r="K72" s="68" t="n">
        <x:f>IFERROR(J72/G72,0)</x:f>
        <x:v>0</x:v>
      </x:c>
      <x:c r="L72" s="50" t="str">
        <x:f>IF(B72="","",IF(J72=MAX(SUMIFS($J$2:$J$200,$B$2:$B$200,B72,$C$2:$C$200,C72,$D$2:$D$200,"A"),SUMIFS($J$2:$J$200,$B$2:$B$200,B72,$C$2:$C$200,C72,$D$2:$D$200,"B")),"Current Winner",""))</x:f>
      </x:c>
      <x:c r="M72" s="50"/>
      <x:c r="N72" s="50"/>
      <x:c r="O72" s="50"/>
      <x:c r="P72" s="50"/>
      <x:c r="Q72" s="50"/>
      <x:c r="R72" s="50"/>
      <x:c r="S72" s="50"/>
      <x:c r="T72" s="50"/>
      <x:c r="U72" s="50"/>
      <x:c r="V72" s="50"/>
      <x:c r="W72" s="50"/>
      <x:c r="X72" s="50"/>
      <x:c r="Y72" s="50"/>
      <x:c r="Z72" s="50"/>
    </x:row>
    <x:row r="73">
      <x:c r="A73" s="67"/>
      <x:c r="B73" s="50"/>
      <x:c r="C73" s="50"/>
      <x:c r="D73" s="50"/>
      <x:c r="E73" s="68"/>
      <x:c r="F73" s="50"/>
      <x:c r="G73" s="69"/>
      <x:c r="H73" s="69"/>
      <x:c r="I73" s="70" t="n">
        <x:f>IFERROR(H73/G73,0)</x:f>
        <x:v>0</x:v>
      </x:c>
      <x:c r="J73" s="68" t="n">
        <x:f>IFERROR(E73*H73,0)</x:f>
        <x:v>0</x:v>
      </x:c>
      <x:c r="K73" s="68" t="n">
        <x:f>IFERROR(J73/G73,0)</x:f>
        <x:v>0</x:v>
      </x:c>
      <x:c r="L73" s="50" t="str">
        <x:f>IF(B73="","",IF(J73=MAX(SUMIFS($J$2:$J$200,$B$2:$B$200,B73,$C$2:$C$200,C73,$D$2:$D$200,"A"),SUMIFS($J$2:$J$200,$B$2:$B$200,B73,$C$2:$C$200,C73,$D$2:$D$200,"B")),"Current Winner",""))</x:f>
      </x:c>
      <x:c r="M73" s="50"/>
      <x:c r="N73" s="50"/>
      <x:c r="O73" s="50"/>
      <x:c r="P73" s="50"/>
      <x:c r="Q73" s="50"/>
      <x:c r="R73" s="50"/>
      <x:c r="S73" s="50"/>
      <x:c r="T73" s="50"/>
      <x:c r="U73" s="50"/>
      <x:c r="V73" s="50"/>
      <x:c r="W73" s="50"/>
      <x:c r="X73" s="50"/>
      <x:c r="Y73" s="50"/>
      <x:c r="Z73" s="50"/>
    </x:row>
    <x:row r="74">
      <x:c r="A74" s="67"/>
      <x:c r="B74" s="50"/>
      <x:c r="C74" s="50"/>
      <x:c r="D74" s="50"/>
      <x:c r="E74" s="68"/>
      <x:c r="F74" s="50"/>
      <x:c r="G74" s="69"/>
      <x:c r="H74" s="69"/>
      <x:c r="I74" s="70" t="n">
        <x:f>IFERROR(H74/G74,0)</x:f>
        <x:v>0</x:v>
      </x:c>
      <x:c r="J74" s="68" t="n">
        <x:f>IFERROR(E74*H74,0)</x:f>
        <x:v>0</x:v>
      </x:c>
      <x:c r="K74" s="68" t="n">
        <x:f>IFERROR(J74/G74,0)</x:f>
        <x:v>0</x:v>
      </x:c>
      <x:c r="L74" s="50" t="str">
        <x:f>IF(B74="","",IF(J74=MAX(SUMIFS($J$2:$J$200,$B$2:$B$200,B74,$C$2:$C$200,C74,$D$2:$D$200,"A"),SUMIFS($J$2:$J$200,$B$2:$B$200,B74,$C$2:$C$200,C74,$D$2:$D$200,"B")),"Current Winner",""))</x:f>
      </x:c>
      <x:c r="M74" s="50"/>
      <x:c r="N74" s="50"/>
      <x:c r="O74" s="50"/>
      <x:c r="P74" s="50"/>
      <x:c r="Q74" s="50"/>
      <x:c r="R74" s="50"/>
      <x:c r="S74" s="50"/>
      <x:c r="T74" s="50"/>
      <x:c r="U74" s="50"/>
      <x:c r="V74" s="50"/>
      <x:c r="W74" s="50"/>
      <x:c r="X74" s="50"/>
      <x:c r="Y74" s="50"/>
      <x:c r="Z74" s="50"/>
    </x:row>
    <x:row r="75">
      <x:c r="A75" s="67"/>
      <x:c r="B75" s="50"/>
      <x:c r="C75" s="50"/>
      <x:c r="D75" s="50"/>
      <x:c r="E75" s="68"/>
      <x:c r="F75" s="50"/>
      <x:c r="G75" s="69"/>
      <x:c r="H75" s="69"/>
      <x:c r="I75" s="70" t="n">
        <x:f>IFERROR(H75/G75,0)</x:f>
        <x:v>0</x:v>
      </x:c>
      <x:c r="J75" s="68" t="n">
        <x:f>IFERROR(E75*H75,0)</x:f>
        <x:v>0</x:v>
      </x:c>
      <x:c r="K75" s="68" t="n">
        <x:f>IFERROR(J75/G75,0)</x:f>
        <x:v>0</x:v>
      </x:c>
      <x:c r="L75" s="50" t="str">
        <x:f>IF(B75="","",IF(J75=MAX(SUMIFS($J$2:$J$200,$B$2:$B$200,B75,$C$2:$C$200,C75,$D$2:$D$200,"A"),SUMIFS($J$2:$J$200,$B$2:$B$200,B75,$C$2:$C$200,C75,$D$2:$D$200,"B")),"Current Winner",""))</x:f>
      </x:c>
      <x:c r="M75" s="50"/>
      <x:c r="N75" s="50"/>
      <x:c r="O75" s="50"/>
      <x:c r="P75" s="50"/>
      <x:c r="Q75" s="50"/>
      <x:c r="R75" s="50"/>
      <x:c r="S75" s="50"/>
      <x:c r="T75" s="50"/>
      <x:c r="U75" s="50"/>
      <x:c r="V75" s="50"/>
      <x:c r="W75" s="50"/>
      <x:c r="X75" s="50"/>
      <x:c r="Y75" s="50"/>
      <x:c r="Z75" s="50"/>
    </x:row>
    <x:row r="76">
      <x:c r="A76" s="67"/>
      <x:c r="B76" s="50"/>
      <x:c r="C76" s="50"/>
      <x:c r="D76" s="50"/>
      <x:c r="E76" s="68"/>
      <x:c r="F76" s="50"/>
      <x:c r="G76" s="69"/>
      <x:c r="H76" s="69"/>
      <x:c r="I76" s="70" t="n">
        <x:f>IFERROR(H76/G76,0)</x:f>
        <x:v>0</x:v>
      </x:c>
      <x:c r="J76" s="68" t="n">
        <x:f>IFERROR(E76*H76,0)</x:f>
        <x:v>0</x:v>
      </x:c>
      <x:c r="K76" s="68" t="n">
        <x:f>IFERROR(J76/G76,0)</x:f>
        <x:v>0</x:v>
      </x:c>
      <x:c r="L76" s="50" t="str">
        <x:f>IF(B76="","",IF(J76=MAX(SUMIFS($J$2:$J$200,$B$2:$B$200,B76,$C$2:$C$200,C76,$D$2:$D$200,"A"),SUMIFS($J$2:$J$200,$B$2:$B$200,B76,$C$2:$C$200,C76,$D$2:$D$200,"B")),"Current Winner",""))</x:f>
      </x:c>
      <x:c r="M76" s="50"/>
      <x:c r="N76" s="50"/>
      <x:c r="O76" s="50"/>
      <x:c r="P76" s="50"/>
      <x:c r="Q76" s="50"/>
      <x:c r="R76" s="50"/>
      <x:c r="S76" s="50"/>
      <x:c r="T76" s="50"/>
      <x:c r="U76" s="50"/>
      <x:c r="V76" s="50"/>
      <x:c r="W76" s="50"/>
      <x:c r="X76" s="50"/>
      <x:c r="Y76" s="50"/>
      <x:c r="Z76" s="50"/>
    </x:row>
    <x:row r="77">
      <x:c r="A77" s="67"/>
      <x:c r="B77" s="50"/>
      <x:c r="C77" s="50"/>
      <x:c r="D77" s="50"/>
      <x:c r="E77" s="68"/>
      <x:c r="F77" s="50"/>
      <x:c r="G77" s="69"/>
      <x:c r="H77" s="69"/>
      <x:c r="I77" s="70" t="n">
        <x:f>IFERROR(H77/G77,0)</x:f>
        <x:v>0</x:v>
      </x:c>
      <x:c r="J77" s="68" t="n">
        <x:f>IFERROR(E77*H77,0)</x:f>
        <x:v>0</x:v>
      </x:c>
      <x:c r="K77" s="68" t="n">
        <x:f>IFERROR(J77/G77,0)</x:f>
        <x:v>0</x:v>
      </x:c>
      <x:c r="L77" s="50" t="str">
        <x:f>IF(B77="","",IF(J77=MAX(SUMIFS($J$2:$J$200,$B$2:$B$200,B77,$C$2:$C$200,C77,$D$2:$D$200,"A"),SUMIFS($J$2:$J$200,$B$2:$B$200,B77,$C$2:$C$200,C77,$D$2:$D$200,"B")),"Current Winner",""))</x:f>
      </x:c>
      <x:c r="M77" s="50"/>
      <x:c r="N77" s="50"/>
      <x:c r="O77" s="50"/>
      <x:c r="P77" s="50"/>
      <x:c r="Q77" s="50"/>
      <x:c r="R77" s="50"/>
      <x:c r="S77" s="50"/>
      <x:c r="T77" s="50"/>
      <x:c r="U77" s="50"/>
      <x:c r="V77" s="50"/>
      <x:c r="W77" s="50"/>
      <x:c r="X77" s="50"/>
      <x:c r="Y77" s="50"/>
      <x:c r="Z77" s="50"/>
    </x:row>
    <x:row r="78">
      <x:c r="A78" s="67"/>
      <x:c r="B78" s="50"/>
      <x:c r="C78" s="50"/>
      <x:c r="D78" s="50"/>
      <x:c r="E78" s="68"/>
      <x:c r="F78" s="50"/>
      <x:c r="G78" s="69"/>
      <x:c r="H78" s="69"/>
      <x:c r="I78" s="70" t="n">
        <x:f>IFERROR(H78/G78,0)</x:f>
        <x:v>0</x:v>
      </x:c>
      <x:c r="J78" s="68" t="n">
        <x:f>IFERROR(E78*H78,0)</x:f>
        <x:v>0</x:v>
      </x:c>
      <x:c r="K78" s="68" t="n">
        <x:f>IFERROR(J78/G78,0)</x:f>
        <x:v>0</x:v>
      </x:c>
      <x:c r="L78" s="50" t="str">
        <x:f>IF(B78="","",IF(J78=MAX(SUMIFS($J$2:$J$200,$B$2:$B$200,B78,$C$2:$C$200,C78,$D$2:$D$200,"A"),SUMIFS($J$2:$J$200,$B$2:$B$200,B78,$C$2:$C$200,C78,$D$2:$D$200,"B")),"Current Winner",""))</x:f>
      </x:c>
      <x:c r="M78" s="50"/>
      <x:c r="N78" s="50"/>
      <x:c r="O78" s="50"/>
      <x:c r="P78" s="50"/>
      <x:c r="Q78" s="50"/>
      <x:c r="R78" s="50"/>
      <x:c r="S78" s="50"/>
      <x:c r="T78" s="50"/>
      <x:c r="U78" s="50"/>
      <x:c r="V78" s="50"/>
      <x:c r="W78" s="50"/>
      <x:c r="X78" s="50"/>
      <x:c r="Y78" s="50"/>
      <x:c r="Z78" s="50"/>
    </x:row>
    <x:row r="79">
      <x:c r="A79" s="67"/>
      <x:c r="B79" s="50"/>
      <x:c r="C79" s="50"/>
      <x:c r="D79" s="50"/>
      <x:c r="E79" s="68"/>
      <x:c r="F79" s="50"/>
      <x:c r="G79" s="69"/>
      <x:c r="H79" s="69"/>
      <x:c r="I79" s="70" t="n">
        <x:f>IFERROR(H79/G79,0)</x:f>
        <x:v>0</x:v>
      </x:c>
      <x:c r="J79" s="68" t="n">
        <x:f>IFERROR(E79*H79,0)</x:f>
        <x:v>0</x:v>
      </x:c>
      <x:c r="K79" s="68" t="n">
        <x:f>IFERROR(J79/G79,0)</x:f>
        <x:v>0</x:v>
      </x:c>
      <x:c r="L79" s="50" t="str">
        <x:f>IF(B79="","",IF(J79=MAX(SUMIFS($J$2:$J$200,$B$2:$B$200,B79,$C$2:$C$200,C79,$D$2:$D$200,"A"),SUMIFS($J$2:$J$200,$B$2:$B$200,B79,$C$2:$C$200,C79,$D$2:$D$200,"B")),"Current Winner",""))</x:f>
      </x:c>
      <x:c r="M79" s="50"/>
      <x:c r="N79" s="50"/>
      <x:c r="O79" s="50"/>
      <x:c r="P79" s="50"/>
      <x:c r="Q79" s="50"/>
      <x:c r="R79" s="50"/>
      <x:c r="S79" s="50"/>
      <x:c r="T79" s="50"/>
      <x:c r="U79" s="50"/>
      <x:c r="V79" s="50"/>
      <x:c r="W79" s="50"/>
      <x:c r="X79" s="50"/>
      <x:c r="Y79" s="50"/>
      <x:c r="Z79" s="50"/>
    </x:row>
    <x:row r="80">
      <x:c r="A80" s="67"/>
      <x:c r="B80" s="50"/>
      <x:c r="C80" s="50"/>
      <x:c r="D80" s="50"/>
      <x:c r="E80" s="68"/>
      <x:c r="F80" s="50"/>
      <x:c r="G80" s="69"/>
      <x:c r="H80" s="69"/>
      <x:c r="I80" s="70" t="n">
        <x:f>IFERROR(H80/G80,0)</x:f>
        <x:v>0</x:v>
      </x:c>
      <x:c r="J80" s="68" t="n">
        <x:f>IFERROR(E80*H80,0)</x:f>
        <x:v>0</x:v>
      </x:c>
      <x:c r="K80" s="68" t="n">
        <x:f>IFERROR(J80/G80,0)</x:f>
        <x:v>0</x:v>
      </x:c>
      <x:c r="L80" s="50" t="str">
        <x:f>IF(B80="","",IF(J80=MAX(SUMIFS($J$2:$J$200,$B$2:$B$200,B80,$C$2:$C$200,C80,$D$2:$D$200,"A"),SUMIFS($J$2:$J$200,$B$2:$B$200,B80,$C$2:$C$200,C80,$D$2:$D$200,"B")),"Current Winner",""))</x:f>
      </x:c>
      <x:c r="M80" s="50"/>
      <x:c r="N80" s="50"/>
      <x:c r="O80" s="50"/>
      <x:c r="P80" s="50"/>
      <x:c r="Q80" s="50"/>
      <x:c r="R80" s="50"/>
      <x:c r="S80" s="50"/>
      <x:c r="T80" s="50"/>
      <x:c r="U80" s="50"/>
      <x:c r="V80" s="50"/>
      <x:c r="W80" s="50"/>
      <x:c r="X80" s="50"/>
      <x:c r="Y80" s="50"/>
      <x:c r="Z80" s="50"/>
    </x:row>
    <x:row r="81">
      <x:c r="A81" s="67"/>
      <x:c r="B81" s="50"/>
      <x:c r="C81" s="50"/>
      <x:c r="D81" s="50"/>
      <x:c r="E81" s="68"/>
      <x:c r="F81" s="50"/>
      <x:c r="G81" s="69"/>
      <x:c r="H81" s="69"/>
      <x:c r="I81" s="70" t="n">
        <x:f>IFERROR(H81/G81,0)</x:f>
        <x:v>0</x:v>
      </x:c>
      <x:c r="J81" s="68" t="n">
        <x:f>IFERROR(E81*H81,0)</x:f>
        <x:v>0</x:v>
      </x:c>
      <x:c r="K81" s="68" t="n">
        <x:f>IFERROR(J81/G81,0)</x:f>
        <x:v>0</x:v>
      </x:c>
      <x:c r="L81" s="50" t="str">
        <x:f>IF(B81="","",IF(J81=MAX(SUMIFS($J$2:$J$200,$B$2:$B$200,B81,$C$2:$C$200,C81,$D$2:$D$200,"A"),SUMIFS($J$2:$J$200,$B$2:$B$200,B81,$C$2:$C$200,C81,$D$2:$D$200,"B")),"Current Winner",""))</x:f>
      </x:c>
      <x:c r="M81" s="50"/>
      <x:c r="N81" s="50"/>
      <x:c r="O81" s="50"/>
      <x:c r="P81" s="50"/>
      <x:c r="Q81" s="50"/>
      <x:c r="R81" s="50"/>
      <x:c r="S81" s="50"/>
      <x:c r="T81" s="50"/>
      <x:c r="U81" s="50"/>
      <x:c r="V81" s="50"/>
      <x:c r="W81" s="50"/>
      <x:c r="X81" s="50"/>
      <x:c r="Y81" s="50"/>
      <x:c r="Z81" s="50"/>
    </x:row>
    <x:row r="82">
      <x:c r="A82" s="67"/>
      <x:c r="B82" s="50"/>
      <x:c r="C82" s="50"/>
      <x:c r="D82" s="50"/>
      <x:c r="E82" s="68"/>
      <x:c r="F82" s="50"/>
      <x:c r="G82" s="69"/>
      <x:c r="H82" s="69"/>
      <x:c r="I82" s="70" t="n">
        <x:f>IFERROR(H82/G82,0)</x:f>
        <x:v>0</x:v>
      </x:c>
      <x:c r="J82" s="68" t="n">
        <x:f>IFERROR(E82*H82,0)</x:f>
        <x:v>0</x:v>
      </x:c>
      <x:c r="K82" s="68" t="n">
        <x:f>IFERROR(J82/G82,0)</x:f>
        <x:v>0</x:v>
      </x:c>
      <x:c r="L82" s="50" t="str">
        <x:f>IF(B82="","",IF(J82=MAX(SUMIFS($J$2:$J$200,$B$2:$B$200,B82,$C$2:$C$200,C82,$D$2:$D$200,"A"),SUMIFS($J$2:$J$200,$B$2:$B$200,B82,$C$2:$C$200,C82,$D$2:$D$200,"B")),"Current Winner",""))</x:f>
      </x:c>
      <x:c r="M82" s="50"/>
      <x:c r="N82" s="50"/>
      <x:c r="O82" s="50"/>
      <x:c r="P82" s="50"/>
      <x:c r="Q82" s="50"/>
      <x:c r="R82" s="50"/>
      <x:c r="S82" s="50"/>
      <x:c r="T82" s="50"/>
      <x:c r="U82" s="50"/>
      <x:c r="V82" s="50"/>
      <x:c r="W82" s="50"/>
      <x:c r="X82" s="50"/>
      <x:c r="Y82" s="50"/>
      <x:c r="Z82" s="50"/>
    </x:row>
    <x:row r="83">
      <x:c r="A83" s="67"/>
      <x:c r="B83" s="50"/>
      <x:c r="C83" s="50"/>
      <x:c r="D83" s="50"/>
      <x:c r="E83" s="68"/>
      <x:c r="F83" s="50"/>
      <x:c r="G83" s="69"/>
      <x:c r="H83" s="69"/>
      <x:c r="I83" s="70" t="n">
        <x:f>IFERROR(H83/G83,0)</x:f>
        <x:v>0</x:v>
      </x:c>
      <x:c r="J83" s="68" t="n">
        <x:f>IFERROR(E83*H83,0)</x:f>
        <x:v>0</x:v>
      </x:c>
      <x:c r="K83" s="68" t="n">
        <x:f>IFERROR(J83/G83,0)</x:f>
        <x:v>0</x:v>
      </x:c>
      <x:c r="L83" s="50" t="str">
        <x:f>IF(B83="","",IF(J83=MAX(SUMIFS($J$2:$J$200,$B$2:$B$200,B83,$C$2:$C$200,C83,$D$2:$D$200,"A"),SUMIFS($J$2:$J$200,$B$2:$B$200,B83,$C$2:$C$200,C83,$D$2:$D$200,"B")),"Current Winner",""))</x:f>
      </x:c>
      <x:c r="M83" s="50"/>
      <x:c r="N83" s="50"/>
      <x:c r="O83" s="50"/>
      <x:c r="P83" s="50"/>
      <x:c r="Q83" s="50"/>
      <x:c r="R83" s="50"/>
      <x:c r="S83" s="50"/>
      <x:c r="T83" s="50"/>
      <x:c r="U83" s="50"/>
      <x:c r="V83" s="50"/>
      <x:c r="W83" s="50"/>
      <x:c r="X83" s="50"/>
      <x:c r="Y83" s="50"/>
      <x:c r="Z83" s="50"/>
    </x:row>
    <x:row r="84">
      <x:c r="A84" s="67"/>
      <x:c r="B84" s="50"/>
      <x:c r="C84" s="50"/>
      <x:c r="D84" s="50"/>
      <x:c r="E84" s="68"/>
      <x:c r="F84" s="50"/>
      <x:c r="G84" s="69"/>
      <x:c r="H84" s="69"/>
      <x:c r="I84" s="70" t="n">
        <x:f>IFERROR(H84/G84,0)</x:f>
        <x:v>0</x:v>
      </x:c>
      <x:c r="J84" s="68" t="n">
        <x:f>IFERROR(E84*H84,0)</x:f>
        <x:v>0</x:v>
      </x:c>
      <x:c r="K84" s="68" t="n">
        <x:f>IFERROR(J84/G84,0)</x:f>
        <x:v>0</x:v>
      </x:c>
      <x:c r="L84" s="50" t="str">
        <x:f>IF(B84="","",IF(J84=MAX(SUMIFS($J$2:$J$200,$B$2:$B$200,B84,$C$2:$C$200,C84,$D$2:$D$200,"A"),SUMIFS($J$2:$J$200,$B$2:$B$200,B84,$C$2:$C$200,C84,$D$2:$D$200,"B")),"Current Winner",""))</x:f>
      </x:c>
      <x:c r="M84" s="50"/>
      <x:c r="N84" s="50"/>
      <x:c r="O84" s="50"/>
      <x:c r="P84" s="50"/>
      <x:c r="Q84" s="50"/>
      <x:c r="R84" s="50"/>
      <x:c r="S84" s="50"/>
      <x:c r="T84" s="50"/>
      <x:c r="U84" s="50"/>
      <x:c r="V84" s="50"/>
      <x:c r="W84" s="50"/>
      <x:c r="X84" s="50"/>
      <x:c r="Y84" s="50"/>
      <x:c r="Z84" s="50"/>
    </x:row>
    <x:row r="85">
      <x:c r="A85" s="67"/>
      <x:c r="B85" s="50"/>
      <x:c r="C85" s="50"/>
      <x:c r="D85" s="50"/>
      <x:c r="E85" s="68"/>
      <x:c r="F85" s="50"/>
      <x:c r="G85" s="69"/>
      <x:c r="H85" s="69"/>
      <x:c r="I85" s="70" t="n">
        <x:f>IFERROR(H85/G85,0)</x:f>
        <x:v>0</x:v>
      </x:c>
      <x:c r="J85" s="68" t="n">
        <x:f>IFERROR(E85*H85,0)</x:f>
        <x:v>0</x:v>
      </x:c>
      <x:c r="K85" s="68" t="n">
        <x:f>IFERROR(J85/G85,0)</x:f>
        <x:v>0</x:v>
      </x:c>
      <x:c r="L85" s="50" t="str">
        <x:f>IF(B85="","",IF(J85=MAX(SUMIFS($J$2:$J$200,$B$2:$B$200,B85,$C$2:$C$200,C85,$D$2:$D$200,"A"),SUMIFS($J$2:$J$200,$B$2:$B$200,B85,$C$2:$C$200,C85,$D$2:$D$200,"B")),"Current Winner",""))</x:f>
      </x:c>
      <x:c r="M85" s="50"/>
      <x:c r="N85" s="50"/>
      <x:c r="O85" s="50"/>
      <x:c r="P85" s="50"/>
      <x:c r="Q85" s="50"/>
      <x:c r="R85" s="50"/>
      <x:c r="S85" s="50"/>
      <x:c r="T85" s="50"/>
      <x:c r="U85" s="50"/>
      <x:c r="V85" s="50"/>
      <x:c r="W85" s="50"/>
      <x:c r="X85" s="50"/>
      <x:c r="Y85" s="50"/>
      <x:c r="Z85" s="50"/>
    </x:row>
    <x:row r="86">
      <x:c r="A86" s="67"/>
      <x:c r="B86" s="50"/>
      <x:c r="C86" s="50"/>
      <x:c r="D86" s="50"/>
      <x:c r="E86" s="68"/>
      <x:c r="F86" s="50"/>
      <x:c r="G86" s="69"/>
      <x:c r="H86" s="69"/>
      <x:c r="I86" s="70" t="n">
        <x:f>IFERROR(H86/G86,0)</x:f>
        <x:v>0</x:v>
      </x:c>
      <x:c r="J86" s="68" t="n">
        <x:f>IFERROR(E86*H86,0)</x:f>
        <x:v>0</x:v>
      </x:c>
      <x:c r="K86" s="68" t="n">
        <x:f>IFERROR(J86/G86,0)</x:f>
        <x:v>0</x:v>
      </x:c>
      <x:c r="L86" s="50" t="str">
        <x:f>IF(B86="","",IF(J86=MAX(SUMIFS($J$2:$J$200,$B$2:$B$200,B86,$C$2:$C$200,C86,$D$2:$D$200,"A"),SUMIFS($J$2:$J$200,$B$2:$B$200,B86,$C$2:$C$200,C86,$D$2:$D$200,"B")),"Current Winner",""))</x:f>
      </x:c>
      <x:c r="M86" s="50"/>
      <x:c r="N86" s="50"/>
      <x:c r="O86" s="50"/>
      <x:c r="P86" s="50"/>
      <x:c r="Q86" s="50"/>
      <x:c r="R86" s="50"/>
      <x:c r="S86" s="50"/>
      <x:c r="T86" s="50"/>
      <x:c r="U86" s="50"/>
      <x:c r="V86" s="50"/>
      <x:c r="W86" s="50"/>
      <x:c r="X86" s="50"/>
      <x:c r="Y86" s="50"/>
      <x:c r="Z86" s="50"/>
    </x:row>
    <x:row r="87">
      <x:c r="A87" s="67"/>
      <x:c r="B87" s="50"/>
      <x:c r="C87" s="50"/>
      <x:c r="D87" s="50"/>
      <x:c r="E87" s="68"/>
      <x:c r="F87" s="50"/>
      <x:c r="G87" s="69"/>
      <x:c r="H87" s="69"/>
      <x:c r="I87" s="70" t="n">
        <x:f>IFERROR(H87/G87,0)</x:f>
        <x:v>0</x:v>
      </x:c>
      <x:c r="J87" s="68" t="n">
        <x:f>IFERROR(E87*H87,0)</x:f>
        <x:v>0</x:v>
      </x:c>
      <x:c r="K87" s="68" t="n">
        <x:f>IFERROR(J87/G87,0)</x:f>
        <x:v>0</x:v>
      </x:c>
      <x:c r="L87" s="50" t="str">
        <x:f>IF(B87="","",IF(J87=MAX(SUMIFS($J$2:$J$200,$B$2:$B$200,B87,$C$2:$C$200,C87,$D$2:$D$200,"A"),SUMIFS($J$2:$J$200,$B$2:$B$200,B87,$C$2:$C$200,C87,$D$2:$D$200,"B")),"Current Winner",""))</x:f>
      </x:c>
      <x:c r="M87" s="50"/>
      <x:c r="N87" s="50"/>
      <x:c r="O87" s="50"/>
      <x:c r="P87" s="50"/>
      <x:c r="Q87" s="50"/>
      <x:c r="R87" s="50"/>
      <x:c r="S87" s="50"/>
      <x:c r="T87" s="50"/>
      <x:c r="U87" s="50"/>
      <x:c r="V87" s="50"/>
      <x:c r="W87" s="50"/>
      <x:c r="X87" s="50"/>
      <x:c r="Y87" s="50"/>
      <x:c r="Z87" s="50"/>
    </x:row>
    <x:row r="88">
      <x:c r="A88" s="67"/>
      <x:c r="B88" s="50"/>
      <x:c r="C88" s="50"/>
      <x:c r="D88" s="50"/>
      <x:c r="E88" s="68"/>
      <x:c r="F88" s="50"/>
      <x:c r="G88" s="69"/>
      <x:c r="H88" s="69"/>
      <x:c r="I88" s="70" t="n">
        <x:f>IFERROR(H88/G88,0)</x:f>
        <x:v>0</x:v>
      </x:c>
      <x:c r="J88" s="68" t="n">
        <x:f>IFERROR(E88*H88,0)</x:f>
        <x:v>0</x:v>
      </x:c>
      <x:c r="K88" s="68" t="n">
        <x:f>IFERROR(J88/G88,0)</x:f>
        <x:v>0</x:v>
      </x:c>
      <x:c r="L88" s="50" t="str">
        <x:f>IF(B88="","",IF(J88=MAX(SUMIFS($J$2:$J$200,$B$2:$B$200,B88,$C$2:$C$200,C88,$D$2:$D$200,"A"),SUMIFS($J$2:$J$200,$B$2:$B$200,B88,$C$2:$C$200,C88,$D$2:$D$200,"B")),"Current Winner",""))</x:f>
      </x:c>
      <x:c r="M88" s="50"/>
      <x:c r="N88" s="50"/>
      <x:c r="O88" s="50"/>
      <x:c r="P88" s="50"/>
      <x:c r="Q88" s="50"/>
      <x:c r="R88" s="50"/>
      <x:c r="S88" s="50"/>
      <x:c r="T88" s="50"/>
      <x:c r="U88" s="50"/>
      <x:c r="V88" s="50"/>
      <x:c r="W88" s="50"/>
      <x:c r="X88" s="50"/>
      <x:c r="Y88" s="50"/>
      <x:c r="Z88" s="50"/>
    </x:row>
    <x:row r="89">
      <x:c r="A89" s="67"/>
      <x:c r="B89" s="50"/>
      <x:c r="C89" s="50"/>
      <x:c r="D89" s="50"/>
      <x:c r="E89" s="68"/>
      <x:c r="F89" s="50"/>
      <x:c r="G89" s="69"/>
      <x:c r="H89" s="69"/>
      <x:c r="I89" s="70" t="n">
        <x:f>IFERROR(H89/G89,0)</x:f>
        <x:v>0</x:v>
      </x:c>
      <x:c r="J89" s="68" t="n">
        <x:f>IFERROR(E89*H89,0)</x:f>
        <x:v>0</x:v>
      </x:c>
      <x:c r="K89" s="68" t="n">
        <x:f>IFERROR(J89/G89,0)</x:f>
        <x:v>0</x:v>
      </x:c>
      <x:c r="L89" s="50" t="str">
        <x:f>IF(B89="","",IF(J89=MAX(SUMIFS($J$2:$J$200,$B$2:$B$200,B89,$C$2:$C$200,C89,$D$2:$D$200,"A"),SUMIFS($J$2:$J$200,$B$2:$B$200,B89,$C$2:$C$200,C89,$D$2:$D$200,"B")),"Current Winner",""))</x:f>
      </x:c>
      <x:c r="M89" s="50"/>
      <x:c r="N89" s="50"/>
      <x:c r="O89" s="50"/>
      <x:c r="P89" s="50"/>
      <x:c r="Q89" s="50"/>
      <x:c r="R89" s="50"/>
      <x:c r="S89" s="50"/>
      <x:c r="T89" s="50"/>
      <x:c r="U89" s="50"/>
      <x:c r="V89" s="50"/>
      <x:c r="W89" s="50"/>
      <x:c r="X89" s="50"/>
      <x:c r="Y89" s="50"/>
      <x:c r="Z89" s="50"/>
    </x:row>
    <x:row r="90">
      <x:c r="A90" s="67"/>
      <x:c r="B90" s="50"/>
      <x:c r="C90" s="50"/>
      <x:c r="D90" s="50"/>
      <x:c r="E90" s="68"/>
      <x:c r="F90" s="50"/>
      <x:c r="G90" s="69"/>
      <x:c r="H90" s="69"/>
      <x:c r="I90" s="70" t="n">
        <x:f>IFERROR(H90/G90,0)</x:f>
        <x:v>0</x:v>
      </x:c>
      <x:c r="J90" s="68" t="n">
        <x:f>IFERROR(E90*H90,0)</x:f>
        <x:v>0</x:v>
      </x:c>
      <x:c r="K90" s="68" t="n">
        <x:f>IFERROR(J90/G90,0)</x:f>
        <x:v>0</x:v>
      </x:c>
      <x:c r="L90" s="50" t="str">
        <x:f>IF(B90="","",IF(J90=MAX(SUMIFS($J$2:$J$200,$B$2:$B$200,B90,$C$2:$C$200,C90,$D$2:$D$200,"A"),SUMIFS($J$2:$J$200,$B$2:$B$200,B90,$C$2:$C$200,C90,$D$2:$D$200,"B")),"Current Winner",""))</x:f>
      </x:c>
      <x:c r="M90" s="50"/>
      <x:c r="N90" s="50"/>
      <x:c r="O90" s="50"/>
      <x:c r="P90" s="50"/>
      <x:c r="Q90" s="50"/>
      <x:c r="R90" s="50"/>
      <x:c r="S90" s="50"/>
      <x:c r="T90" s="50"/>
      <x:c r="U90" s="50"/>
      <x:c r="V90" s="50"/>
      <x:c r="W90" s="50"/>
      <x:c r="X90" s="50"/>
      <x:c r="Y90" s="50"/>
      <x:c r="Z90" s="50"/>
    </x:row>
    <x:row r="91">
      <x:c r="A91" s="67"/>
      <x:c r="B91" s="50"/>
      <x:c r="C91" s="50"/>
      <x:c r="D91" s="50"/>
      <x:c r="E91" s="68"/>
      <x:c r="F91" s="50"/>
      <x:c r="G91" s="69"/>
      <x:c r="H91" s="69"/>
      <x:c r="I91" s="70" t="n">
        <x:f>IFERROR(H91/G91,0)</x:f>
        <x:v>0</x:v>
      </x:c>
      <x:c r="J91" s="68" t="n">
        <x:f>IFERROR(E91*H91,0)</x:f>
        <x:v>0</x:v>
      </x:c>
      <x:c r="K91" s="68" t="n">
        <x:f>IFERROR(J91/G91,0)</x:f>
        <x:v>0</x:v>
      </x:c>
      <x:c r="L91" s="50" t="str">
        <x:f>IF(B91="","",IF(J91=MAX(SUMIFS($J$2:$J$200,$B$2:$B$200,B91,$C$2:$C$200,C91,$D$2:$D$200,"A"),SUMIFS($J$2:$J$200,$B$2:$B$200,B91,$C$2:$C$200,C91,$D$2:$D$200,"B")),"Current Winner",""))</x:f>
      </x:c>
      <x:c r="M91" s="50"/>
      <x:c r="N91" s="50"/>
      <x:c r="O91" s="50"/>
      <x:c r="P91" s="50"/>
      <x:c r="Q91" s="50"/>
      <x:c r="R91" s="50"/>
      <x:c r="S91" s="50"/>
      <x:c r="T91" s="50"/>
      <x:c r="U91" s="50"/>
      <x:c r="V91" s="50"/>
      <x:c r="W91" s="50"/>
      <x:c r="X91" s="50"/>
      <x:c r="Y91" s="50"/>
      <x:c r="Z91" s="50"/>
    </x:row>
    <x:row r="92">
      <x:c r="A92" s="67"/>
      <x:c r="B92" s="50"/>
      <x:c r="C92" s="50"/>
      <x:c r="D92" s="50"/>
      <x:c r="E92" s="68"/>
      <x:c r="F92" s="50"/>
      <x:c r="G92" s="69"/>
      <x:c r="H92" s="69"/>
      <x:c r="I92" s="70" t="n">
        <x:f>IFERROR(H92/G92,0)</x:f>
        <x:v>0</x:v>
      </x:c>
      <x:c r="J92" s="68" t="n">
        <x:f>IFERROR(E92*H92,0)</x:f>
        <x:v>0</x:v>
      </x:c>
      <x:c r="K92" s="68" t="n">
        <x:f>IFERROR(J92/G92,0)</x:f>
        <x:v>0</x:v>
      </x:c>
      <x:c r="L92" s="50" t="str">
        <x:f>IF(B92="","",IF(J92=MAX(SUMIFS($J$2:$J$200,$B$2:$B$200,B92,$C$2:$C$200,C92,$D$2:$D$200,"A"),SUMIFS($J$2:$J$200,$B$2:$B$200,B92,$C$2:$C$200,C92,$D$2:$D$200,"B")),"Current Winner",""))</x:f>
      </x:c>
      <x:c r="M92" s="50"/>
      <x:c r="N92" s="50"/>
      <x:c r="O92" s="50"/>
      <x:c r="P92" s="50"/>
      <x:c r="Q92" s="50"/>
      <x:c r="R92" s="50"/>
      <x:c r="S92" s="50"/>
      <x:c r="T92" s="50"/>
      <x:c r="U92" s="50"/>
      <x:c r="V92" s="50"/>
      <x:c r="W92" s="50"/>
      <x:c r="X92" s="50"/>
      <x:c r="Y92" s="50"/>
      <x:c r="Z92" s="50"/>
    </x:row>
    <x:row r="93">
      <x:c r="A93" s="67"/>
      <x:c r="B93" s="50"/>
      <x:c r="C93" s="50"/>
      <x:c r="D93" s="50"/>
      <x:c r="E93" s="68"/>
      <x:c r="F93" s="50"/>
      <x:c r="G93" s="69"/>
      <x:c r="H93" s="69"/>
      <x:c r="I93" s="70" t="n">
        <x:f>IFERROR(H93/G93,0)</x:f>
        <x:v>0</x:v>
      </x:c>
      <x:c r="J93" s="68" t="n">
        <x:f>IFERROR(E93*H93,0)</x:f>
        <x:v>0</x:v>
      </x:c>
      <x:c r="K93" s="68" t="n">
        <x:f>IFERROR(J93/G93,0)</x:f>
        <x:v>0</x:v>
      </x:c>
      <x:c r="L93" s="50" t="str">
        <x:f>IF(B93="","",IF(J93=MAX(SUMIFS($J$2:$J$200,$B$2:$B$200,B93,$C$2:$C$200,C93,$D$2:$D$200,"A"),SUMIFS($J$2:$J$200,$B$2:$B$200,B93,$C$2:$C$200,C93,$D$2:$D$200,"B")),"Current Winner",""))</x:f>
      </x:c>
      <x:c r="M93" s="50"/>
      <x:c r="N93" s="50"/>
      <x:c r="O93" s="50"/>
      <x:c r="P93" s="50"/>
      <x:c r="Q93" s="50"/>
      <x:c r="R93" s="50"/>
      <x:c r="S93" s="50"/>
      <x:c r="T93" s="50"/>
      <x:c r="U93" s="50"/>
      <x:c r="V93" s="50"/>
      <x:c r="W93" s="50"/>
      <x:c r="X93" s="50"/>
      <x:c r="Y93" s="50"/>
      <x:c r="Z93" s="50"/>
    </x:row>
    <x:row r="94">
      <x:c r="A94" s="67"/>
      <x:c r="B94" s="50"/>
      <x:c r="C94" s="50"/>
      <x:c r="D94" s="50"/>
      <x:c r="E94" s="68"/>
      <x:c r="F94" s="50"/>
      <x:c r="G94" s="69"/>
      <x:c r="H94" s="69"/>
      <x:c r="I94" s="70" t="n">
        <x:f>IFERROR(H94/G94,0)</x:f>
        <x:v>0</x:v>
      </x:c>
      <x:c r="J94" s="68" t="n">
        <x:f>IFERROR(E94*H94,0)</x:f>
        <x:v>0</x:v>
      </x:c>
      <x:c r="K94" s="68" t="n">
        <x:f>IFERROR(J94/G94,0)</x:f>
        <x:v>0</x:v>
      </x:c>
      <x:c r="L94" s="50" t="str">
        <x:f>IF(B94="","",IF(J94=MAX(SUMIFS($J$2:$J$200,$B$2:$B$200,B94,$C$2:$C$200,C94,$D$2:$D$200,"A"),SUMIFS($J$2:$J$200,$B$2:$B$200,B94,$C$2:$C$200,C94,$D$2:$D$200,"B")),"Current Winner",""))</x:f>
      </x:c>
      <x:c r="M94" s="50"/>
      <x:c r="N94" s="50"/>
      <x:c r="O94" s="50"/>
      <x:c r="P94" s="50"/>
      <x:c r="Q94" s="50"/>
      <x:c r="R94" s="50"/>
      <x:c r="S94" s="50"/>
      <x:c r="T94" s="50"/>
      <x:c r="U94" s="50"/>
      <x:c r="V94" s="50"/>
      <x:c r="W94" s="50"/>
      <x:c r="X94" s="50"/>
      <x:c r="Y94" s="50"/>
      <x:c r="Z94" s="50"/>
    </x:row>
    <x:row r="95">
      <x:c r="A95" s="67"/>
      <x:c r="B95" s="50"/>
      <x:c r="C95" s="50"/>
      <x:c r="D95" s="50"/>
      <x:c r="E95" s="68"/>
      <x:c r="F95" s="50"/>
      <x:c r="G95" s="69"/>
      <x:c r="H95" s="69"/>
      <x:c r="I95" s="70" t="n">
        <x:f>IFERROR(H95/G95,0)</x:f>
        <x:v>0</x:v>
      </x:c>
      <x:c r="J95" s="68" t="n">
        <x:f>IFERROR(E95*H95,0)</x:f>
        <x:v>0</x:v>
      </x:c>
      <x:c r="K95" s="68" t="n">
        <x:f>IFERROR(J95/G95,0)</x:f>
        <x:v>0</x:v>
      </x:c>
      <x:c r="L95" s="50" t="str">
        <x:f>IF(B95="","",IF(J95=MAX(SUMIFS($J$2:$J$200,$B$2:$B$200,B95,$C$2:$C$200,C95,$D$2:$D$200,"A"),SUMIFS($J$2:$J$200,$B$2:$B$200,B95,$C$2:$C$200,C95,$D$2:$D$200,"B")),"Current Winner",""))</x:f>
      </x:c>
      <x:c r="M95" s="50"/>
      <x:c r="N95" s="50"/>
      <x:c r="O95" s="50"/>
      <x:c r="P95" s="50"/>
      <x:c r="Q95" s="50"/>
      <x:c r="R95" s="50"/>
      <x:c r="S95" s="50"/>
      <x:c r="T95" s="50"/>
      <x:c r="U95" s="50"/>
      <x:c r="V95" s="50"/>
      <x:c r="W95" s="50"/>
      <x:c r="X95" s="50"/>
      <x:c r="Y95" s="50"/>
      <x:c r="Z95" s="50"/>
    </x:row>
    <x:row r="96">
      <x:c r="A96" s="67"/>
      <x:c r="B96" s="50"/>
      <x:c r="C96" s="50"/>
      <x:c r="D96" s="50"/>
      <x:c r="E96" s="68"/>
      <x:c r="F96" s="50"/>
      <x:c r="G96" s="69"/>
      <x:c r="H96" s="69"/>
      <x:c r="I96" s="70" t="n">
        <x:f>IFERROR(H96/G96,0)</x:f>
        <x:v>0</x:v>
      </x:c>
      <x:c r="J96" s="68" t="n">
        <x:f>IFERROR(E96*H96,0)</x:f>
        <x:v>0</x:v>
      </x:c>
      <x:c r="K96" s="68" t="n">
        <x:f>IFERROR(J96/G96,0)</x:f>
        <x:v>0</x:v>
      </x:c>
      <x:c r="L96" s="50" t="str">
        <x:f>IF(B96="","",IF(J96=MAX(SUMIFS($J$2:$J$200,$B$2:$B$200,B96,$C$2:$C$200,C96,$D$2:$D$200,"A"),SUMIFS($J$2:$J$200,$B$2:$B$200,B96,$C$2:$C$200,C96,$D$2:$D$200,"B")),"Current Winner",""))</x:f>
      </x:c>
      <x:c r="M96" s="50"/>
      <x:c r="N96" s="50"/>
      <x:c r="O96" s="50"/>
      <x:c r="P96" s="50"/>
      <x:c r="Q96" s="50"/>
      <x:c r="R96" s="50"/>
      <x:c r="S96" s="50"/>
      <x:c r="T96" s="50"/>
      <x:c r="U96" s="50"/>
      <x:c r="V96" s="50"/>
      <x:c r="W96" s="50"/>
      <x:c r="X96" s="50"/>
      <x:c r="Y96" s="50"/>
      <x:c r="Z96" s="50"/>
    </x:row>
    <x:row r="97">
      <x:c r="A97" s="67"/>
      <x:c r="B97" s="50"/>
      <x:c r="C97" s="50"/>
      <x:c r="D97" s="50"/>
      <x:c r="E97" s="68"/>
      <x:c r="F97" s="50"/>
      <x:c r="G97" s="69"/>
      <x:c r="H97" s="69"/>
      <x:c r="I97" s="70" t="n">
        <x:f>IFERROR(H97/G97,0)</x:f>
        <x:v>0</x:v>
      </x:c>
      <x:c r="J97" s="68" t="n">
        <x:f>IFERROR(E97*H97,0)</x:f>
        <x:v>0</x:v>
      </x:c>
      <x:c r="K97" s="68" t="n">
        <x:f>IFERROR(J97/G97,0)</x:f>
        <x:v>0</x:v>
      </x:c>
      <x:c r="L97" s="50" t="str">
        <x:f>IF(B97="","",IF(J97=MAX(SUMIFS($J$2:$J$200,$B$2:$B$200,B97,$C$2:$C$200,C97,$D$2:$D$200,"A"),SUMIFS($J$2:$J$200,$B$2:$B$200,B97,$C$2:$C$200,C97,$D$2:$D$200,"B")),"Current Winner",""))</x:f>
      </x:c>
      <x:c r="M97" s="50"/>
      <x:c r="N97" s="50"/>
      <x:c r="O97" s="50"/>
      <x:c r="P97" s="50"/>
      <x:c r="Q97" s="50"/>
      <x:c r="R97" s="50"/>
      <x:c r="S97" s="50"/>
      <x:c r="T97" s="50"/>
      <x:c r="U97" s="50"/>
      <x:c r="V97" s="50"/>
      <x:c r="W97" s="50"/>
      <x:c r="X97" s="50"/>
      <x:c r="Y97" s="50"/>
      <x:c r="Z97" s="50"/>
    </x:row>
    <x:row r="98">
      <x:c r="A98" s="67"/>
      <x:c r="B98" s="50"/>
      <x:c r="C98" s="50"/>
      <x:c r="D98" s="50"/>
      <x:c r="E98" s="68"/>
      <x:c r="F98" s="50"/>
      <x:c r="G98" s="69"/>
      <x:c r="H98" s="69"/>
      <x:c r="I98" s="70" t="n">
        <x:f>IFERROR(H98/G98,0)</x:f>
        <x:v>0</x:v>
      </x:c>
      <x:c r="J98" s="68" t="n">
        <x:f>IFERROR(E98*H98,0)</x:f>
        <x:v>0</x:v>
      </x:c>
      <x:c r="K98" s="68" t="n">
        <x:f>IFERROR(J98/G98,0)</x:f>
        <x:v>0</x:v>
      </x:c>
      <x:c r="L98" s="50" t="str">
        <x:f>IF(B98="","",IF(J98=MAX(SUMIFS($J$2:$J$200,$B$2:$B$200,B98,$C$2:$C$200,C98,$D$2:$D$200,"A"),SUMIFS($J$2:$J$200,$B$2:$B$200,B98,$C$2:$C$200,C98,$D$2:$D$200,"B")),"Current Winner",""))</x:f>
      </x:c>
      <x:c r="M98" s="50"/>
      <x:c r="N98" s="50"/>
      <x:c r="O98" s="50"/>
      <x:c r="P98" s="50"/>
      <x:c r="Q98" s="50"/>
      <x:c r="R98" s="50"/>
      <x:c r="S98" s="50"/>
      <x:c r="T98" s="50"/>
      <x:c r="U98" s="50"/>
      <x:c r="V98" s="50"/>
      <x:c r="W98" s="50"/>
      <x:c r="X98" s="50"/>
      <x:c r="Y98" s="50"/>
      <x:c r="Z98" s="50"/>
    </x:row>
    <x:row r="99">
      <x:c r="A99" s="67"/>
      <x:c r="B99" s="50"/>
      <x:c r="C99" s="50"/>
      <x:c r="D99" s="50"/>
      <x:c r="E99" s="68"/>
      <x:c r="F99" s="50"/>
      <x:c r="G99" s="69"/>
      <x:c r="H99" s="69"/>
      <x:c r="I99" s="70" t="n">
        <x:f>IFERROR(H99/G99,0)</x:f>
        <x:v>0</x:v>
      </x:c>
      <x:c r="J99" s="68" t="n">
        <x:f>IFERROR(E99*H99,0)</x:f>
        <x:v>0</x:v>
      </x:c>
      <x:c r="K99" s="68" t="n">
        <x:f>IFERROR(J99/G99,0)</x:f>
        <x:v>0</x:v>
      </x:c>
      <x:c r="L99" s="50" t="str">
        <x:f>IF(B99="","",IF(J99=MAX(SUMIFS($J$2:$J$200,$B$2:$B$200,B99,$C$2:$C$200,C99,$D$2:$D$200,"A"),SUMIFS($J$2:$J$200,$B$2:$B$200,B99,$C$2:$C$200,C99,$D$2:$D$200,"B")),"Current Winner",""))</x:f>
      </x:c>
      <x:c r="M99" s="50"/>
      <x:c r="N99" s="50"/>
      <x:c r="O99" s="50"/>
      <x:c r="P99" s="50"/>
      <x:c r="Q99" s="50"/>
      <x:c r="R99" s="50"/>
      <x:c r="S99" s="50"/>
      <x:c r="T99" s="50"/>
      <x:c r="U99" s="50"/>
      <x:c r="V99" s="50"/>
      <x:c r="W99" s="50"/>
      <x:c r="X99" s="50"/>
      <x:c r="Y99" s="50"/>
      <x:c r="Z99" s="50"/>
    </x:row>
    <x:row r="100">
      <x:c r="A100" s="67"/>
      <x:c r="B100" s="50"/>
      <x:c r="C100" s="50"/>
      <x:c r="D100" s="50"/>
      <x:c r="E100" s="68"/>
      <x:c r="F100" s="50"/>
      <x:c r="G100" s="69"/>
      <x:c r="H100" s="69"/>
      <x:c r="I100" s="70" t="n">
        <x:f>IFERROR(H100/G100,0)</x:f>
        <x:v>0</x:v>
      </x:c>
      <x:c r="J100" s="68" t="n">
        <x:f>IFERROR(E100*H100,0)</x:f>
        <x:v>0</x:v>
      </x:c>
      <x:c r="K100" s="68" t="n">
        <x:f>IFERROR(J100/G100,0)</x:f>
        <x:v>0</x:v>
      </x:c>
      <x:c r="L100" s="50" t="str">
        <x:f>IF(B100="","",IF(J100=MAX(SUMIFS($J$2:$J$200,$B$2:$B$200,B100,$C$2:$C$200,C100,$D$2:$D$200,"A"),SUMIFS($J$2:$J$200,$B$2:$B$200,B100,$C$2:$C$200,C100,$D$2:$D$200,"B")),"Current Winner",""))</x:f>
      </x:c>
      <x:c r="M100" s="50"/>
      <x:c r="N100" s="50"/>
      <x:c r="O100" s="50"/>
      <x:c r="P100" s="50"/>
      <x:c r="Q100" s="50"/>
      <x:c r="R100" s="50"/>
      <x:c r="S100" s="50"/>
      <x:c r="T100" s="50"/>
      <x:c r="U100" s="50"/>
      <x:c r="V100" s="50"/>
      <x:c r="W100" s="50"/>
      <x:c r="X100" s="50"/>
      <x:c r="Y100" s="50"/>
      <x:c r="Z100" s="50"/>
    </x:row>
    <x:row r="101">
      <x:c r="A101" s="67"/>
      <x:c r="B101" s="50"/>
      <x:c r="C101" s="50"/>
      <x:c r="D101" s="50"/>
      <x:c r="E101" s="68"/>
      <x:c r="F101" s="50"/>
      <x:c r="G101" s="69"/>
      <x:c r="H101" s="69"/>
      <x:c r="I101" s="70" t="n">
        <x:f>IFERROR(H101/G101,0)</x:f>
        <x:v>0</x:v>
      </x:c>
      <x:c r="J101" s="68" t="n">
        <x:f>IFERROR(E101*H101,0)</x:f>
        <x:v>0</x:v>
      </x:c>
      <x:c r="K101" s="68" t="n">
        <x:f>IFERROR(J101/G101,0)</x:f>
        <x:v>0</x:v>
      </x:c>
      <x:c r="L101" s="50" t="str">
        <x:f>IF(B101="","",IF(J101=MAX(SUMIFS($J$2:$J$200,$B$2:$B$200,B101,$C$2:$C$200,C101,$D$2:$D$200,"A"),SUMIFS($J$2:$J$200,$B$2:$B$200,B101,$C$2:$C$200,C101,$D$2:$D$200,"B")),"Current Winner",""))</x:f>
      </x:c>
      <x:c r="M101" s="50"/>
      <x:c r="N101" s="50"/>
      <x:c r="O101" s="50"/>
      <x:c r="P101" s="50"/>
      <x:c r="Q101" s="50"/>
      <x:c r="R101" s="50"/>
      <x:c r="S101" s="50"/>
      <x:c r="T101" s="50"/>
      <x:c r="U101" s="50"/>
      <x:c r="V101" s="50"/>
      <x:c r="W101" s="50"/>
      <x:c r="X101" s="50"/>
      <x:c r="Y101" s="50"/>
      <x:c r="Z101" s="50"/>
    </x:row>
    <x:row r="102">
      <x:c r="A102" s="67"/>
      <x:c r="B102" s="50"/>
      <x:c r="C102" s="50"/>
      <x:c r="D102" s="50"/>
      <x:c r="E102" s="68"/>
      <x:c r="F102" s="50"/>
      <x:c r="G102" s="69"/>
      <x:c r="H102" s="69"/>
      <x:c r="I102" s="70" t="n">
        <x:f>IFERROR(H102/G102,0)</x:f>
        <x:v>0</x:v>
      </x:c>
      <x:c r="J102" s="68" t="n">
        <x:f>IFERROR(E102*H102,0)</x:f>
        <x:v>0</x:v>
      </x:c>
      <x:c r="K102" s="68" t="n">
        <x:f>IFERROR(J102/G102,0)</x:f>
        <x:v>0</x:v>
      </x:c>
      <x:c r="L102" s="50" t="str">
        <x:f>IF(B102="","",IF(J102=MAX(SUMIFS($J$2:$J$200,$B$2:$B$200,B102,$C$2:$C$200,C102,$D$2:$D$200,"A"),SUMIFS($J$2:$J$200,$B$2:$B$200,B102,$C$2:$C$200,C102,$D$2:$D$200,"B")),"Current Winner",""))</x:f>
      </x:c>
      <x:c r="M102" s="50"/>
      <x:c r="N102" s="50"/>
      <x:c r="O102" s="50"/>
      <x:c r="P102" s="50"/>
      <x:c r="Q102" s="50"/>
      <x:c r="R102" s="50"/>
      <x:c r="S102" s="50"/>
      <x:c r="T102" s="50"/>
      <x:c r="U102" s="50"/>
      <x:c r="V102" s="50"/>
      <x:c r="W102" s="50"/>
      <x:c r="X102" s="50"/>
      <x:c r="Y102" s="50"/>
      <x:c r="Z102" s="50"/>
    </x:row>
    <x:row r="103">
      <x:c r="A103" s="67"/>
      <x:c r="B103" s="50"/>
      <x:c r="C103" s="50"/>
      <x:c r="D103" s="50"/>
      <x:c r="E103" s="68"/>
      <x:c r="F103" s="50"/>
      <x:c r="G103" s="69"/>
      <x:c r="H103" s="69"/>
      <x:c r="I103" s="70" t="n">
        <x:f>IFERROR(H103/G103,0)</x:f>
        <x:v>0</x:v>
      </x:c>
      <x:c r="J103" s="68" t="n">
        <x:f>IFERROR(E103*H103,0)</x:f>
        <x:v>0</x:v>
      </x:c>
      <x:c r="K103" s="68" t="n">
        <x:f>IFERROR(J103/G103,0)</x:f>
        <x:v>0</x:v>
      </x:c>
      <x:c r="L103" s="50" t="str">
        <x:f>IF(B103="","",IF(J103=MAX(SUMIFS($J$2:$J$200,$B$2:$B$200,B103,$C$2:$C$200,C103,$D$2:$D$200,"A"),SUMIFS($J$2:$J$200,$B$2:$B$200,B103,$C$2:$C$200,C103,$D$2:$D$200,"B")),"Current Winner",""))</x:f>
      </x:c>
      <x:c r="M103" s="50"/>
      <x:c r="N103" s="50"/>
      <x:c r="O103" s="50"/>
      <x:c r="P103" s="50"/>
      <x:c r="Q103" s="50"/>
      <x:c r="R103" s="50"/>
      <x:c r="S103" s="50"/>
      <x:c r="T103" s="50"/>
      <x:c r="U103" s="50"/>
      <x:c r="V103" s="50"/>
      <x:c r="W103" s="50"/>
      <x:c r="X103" s="50"/>
      <x:c r="Y103" s="50"/>
      <x:c r="Z103" s="50"/>
    </x:row>
    <x:row r="104">
      <x:c r="A104" s="67"/>
      <x:c r="B104" s="50"/>
      <x:c r="C104" s="50"/>
      <x:c r="D104" s="50"/>
      <x:c r="E104" s="68"/>
      <x:c r="F104" s="50"/>
      <x:c r="G104" s="69"/>
      <x:c r="H104" s="69"/>
      <x:c r="I104" s="70" t="n">
        <x:f>IFERROR(H104/G104,0)</x:f>
        <x:v>0</x:v>
      </x:c>
      <x:c r="J104" s="68" t="n">
        <x:f>IFERROR(E104*H104,0)</x:f>
        <x:v>0</x:v>
      </x:c>
      <x:c r="K104" s="68" t="n">
        <x:f>IFERROR(J104/G104,0)</x:f>
        <x:v>0</x:v>
      </x:c>
      <x:c r="L104" s="50" t="str">
        <x:f>IF(B104="","",IF(J104=MAX(SUMIFS($J$2:$J$200,$B$2:$B$200,B104,$C$2:$C$200,C104,$D$2:$D$200,"A"),SUMIFS($J$2:$J$200,$B$2:$B$200,B104,$C$2:$C$200,C104,$D$2:$D$200,"B")),"Current Winner",""))</x:f>
      </x:c>
      <x:c r="M104" s="50"/>
      <x:c r="N104" s="50"/>
      <x:c r="O104" s="50"/>
      <x:c r="P104" s="50"/>
      <x:c r="Q104" s="50"/>
      <x:c r="R104" s="50"/>
      <x:c r="S104" s="50"/>
      <x:c r="T104" s="50"/>
      <x:c r="U104" s="50"/>
      <x:c r="V104" s="50"/>
      <x:c r="W104" s="50"/>
      <x:c r="X104" s="50"/>
      <x:c r="Y104" s="50"/>
      <x:c r="Z104" s="50"/>
    </x:row>
    <x:row r="105">
      <x:c r="A105" s="67"/>
      <x:c r="B105" s="50"/>
      <x:c r="C105" s="50"/>
      <x:c r="D105" s="50"/>
      <x:c r="E105" s="68"/>
      <x:c r="F105" s="50"/>
      <x:c r="G105" s="69"/>
      <x:c r="H105" s="69"/>
      <x:c r="I105" s="70" t="n">
        <x:f>IFERROR(H105/G105,0)</x:f>
        <x:v>0</x:v>
      </x:c>
      <x:c r="J105" s="68" t="n">
        <x:f>IFERROR(E105*H105,0)</x:f>
        <x:v>0</x:v>
      </x:c>
      <x:c r="K105" s="68" t="n">
        <x:f>IFERROR(J105/G105,0)</x:f>
        <x:v>0</x:v>
      </x:c>
      <x:c r="L105" s="50" t="str">
        <x:f>IF(B105="","",IF(J105=MAX(SUMIFS($J$2:$J$200,$B$2:$B$200,B105,$C$2:$C$200,C105,$D$2:$D$200,"A"),SUMIFS($J$2:$J$200,$B$2:$B$200,B105,$C$2:$C$200,C105,$D$2:$D$200,"B")),"Current Winner",""))</x:f>
      </x:c>
      <x:c r="M105" s="50"/>
      <x:c r="N105" s="50"/>
      <x:c r="O105" s="50"/>
      <x:c r="P105" s="50"/>
      <x:c r="Q105" s="50"/>
      <x:c r="R105" s="50"/>
      <x:c r="S105" s="50"/>
      <x:c r="T105" s="50"/>
      <x:c r="U105" s="50"/>
      <x:c r="V105" s="50"/>
      <x:c r="W105" s="50"/>
      <x:c r="X105" s="50"/>
      <x:c r="Y105" s="50"/>
      <x:c r="Z105" s="50"/>
    </x:row>
    <x:row r="106">
      <x:c r="A106" s="67"/>
      <x:c r="B106" s="50"/>
      <x:c r="C106" s="50"/>
      <x:c r="D106" s="50"/>
      <x:c r="E106" s="68"/>
      <x:c r="F106" s="50"/>
      <x:c r="G106" s="69"/>
      <x:c r="H106" s="69"/>
      <x:c r="I106" s="70" t="n">
        <x:f>IFERROR(H106/G106,0)</x:f>
        <x:v>0</x:v>
      </x:c>
      <x:c r="J106" s="68" t="n">
        <x:f>IFERROR(E106*H106,0)</x:f>
        <x:v>0</x:v>
      </x:c>
      <x:c r="K106" s="68" t="n">
        <x:f>IFERROR(J106/G106,0)</x:f>
        <x:v>0</x:v>
      </x:c>
      <x:c r="L106" s="50" t="str">
        <x:f>IF(B106="","",IF(J106=MAX(SUMIFS($J$2:$J$200,$B$2:$B$200,B106,$C$2:$C$200,C106,$D$2:$D$200,"A"),SUMIFS($J$2:$J$200,$B$2:$B$200,B106,$C$2:$C$200,C106,$D$2:$D$200,"B")),"Current Winner",""))</x:f>
      </x:c>
      <x:c r="M106" s="50"/>
      <x:c r="N106" s="50"/>
      <x:c r="O106" s="50"/>
      <x:c r="P106" s="50"/>
      <x:c r="Q106" s="50"/>
      <x:c r="R106" s="50"/>
      <x:c r="S106" s="50"/>
      <x:c r="T106" s="50"/>
      <x:c r="U106" s="50"/>
      <x:c r="V106" s="50"/>
      <x:c r="W106" s="50"/>
      <x:c r="X106" s="50"/>
      <x:c r="Y106" s="50"/>
      <x:c r="Z106" s="50"/>
    </x:row>
    <x:row r="107">
      <x:c r="A107" s="67"/>
      <x:c r="B107" s="50"/>
      <x:c r="C107" s="50"/>
      <x:c r="D107" s="50"/>
      <x:c r="E107" s="68"/>
      <x:c r="F107" s="50"/>
      <x:c r="G107" s="69"/>
      <x:c r="H107" s="69"/>
      <x:c r="I107" s="70" t="n">
        <x:f>IFERROR(H107/G107,0)</x:f>
        <x:v>0</x:v>
      </x:c>
      <x:c r="J107" s="68" t="n">
        <x:f>IFERROR(E107*H107,0)</x:f>
        <x:v>0</x:v>
      </x:c>
      <x:c r="K107" s="68" t="n">
        <x:f>IFERROR(J107/G107,0)</x:f>
        <x:v>0</x:v>
      </x:c>
      <x:c r="L107" s="50" t="str">
        <x:f>IF(B107="","",IF(J107=MAX(SUMIFS($J$2:$J$200,$B$2:$B$200,B107,$C$2:$C$200,C107,$D$2:$D$200,"A"),SUMIFS($J$2:$J$200,$B$2:$B$200,B107,$C$2:$C$200,C107,$D$2:$D$200,"B")),"Current Winner",""))</x:f>
      </x:c>
      <x:c r="M107" s="50"/>
      <x:c r="N107" s="50"/>
      <x:c r="O107" s="50"/>
      <x:c r="P107" s="50"/>
      <x:c r="Q107" s="50"/>
      <x:c r="R107" s="50"/>
      <x:c r="S107" s="50"/>
      <x:c r="T107" s="50"/>
      <x:c r="U107" s="50"/>
      <x:c r="V107" s="50"/>
      <x:c r="W107" s="50"/>
      <x:c r="X107" s="50"/>
      <x:c r="Y107" s="50"/>
      <x:c r="Z107" s="50"/>
    </x:row>
    <x:row r="108">
      <x:c r="A108" s="67"/>
      <x:c r="B108" s="50"/>
      <x:c r="C108" s="50"/>
      <x:c r="D108" s="50"/>
      <x:c r="E108" s="68"/>
      <x:c r="F108" s="50"/>
      <x:c r="G108" s="69"/>
      <x:c r="H108" s="69"/>
      <x:c r="I108" s="70" t="n">
        <x:f>IFERROR(H108/G108,0)</x:f>
        <x:v>0</x:v>
      </x:c>
      <x:c r="J108" s="68" t="n">
        <x:f>IFERROR(E108*H108,0)</x:f>
        <x:v>0</x:v>
      </x:c>
      <x:c r="K108" s="68" t="n">
        <x:f>IFERROR(J108/G108,0)</x:f>
        <x:v>0</x:v>
      </x:c>
      <x:c r="L108" s="50" t="str">
        <x:f>IF(B108="","",IF(J108=MAX(SUMIFS($J$2:$J$200,$B$2:$B$200,B108,$C$2:$C$200,C108,$D$2:$D$200,"A"),SUMIFS($J$2:$J$200,$B$2:$B$200,B108,$C$2:$C$200,C108,$D$2:$D$200,"B")),"Current Winner",""))</x:f>
      </x:c>
      <x:c r="M108" s="50"/>
      <x:c r="N108" s="50"/>
      <x:c r="O108" s="50"/>
      <x:c r="P108" s="50"/>
      <x:c r="Q108" s="50"/>
      <x:c r="R108" s="50"/>
      <x:c r="S108" s="50"/>
      <x:c r="T108" s="50"/>
      <x:c r="U108" s="50"/>
      <x:c r="V108" s="50"/>
      <x:c r="W108" s="50"/>
      <x:c r="X108" s="50"/>
      <x:c r="Y108" s="50"/>
      <x:c r="Z108" s="50"/>
    </x:row>
    <x:row r="109">
      <x:c r="A109" s="67"/>
      <x:c r="B109" s="50"/>
      <x:c r="C109" s="50"/>
      <x:c r="D109" s="50"/>
      <x:c r="E109" s="68"/>
      <x:c r="F109" s="50"/>
      <x:c r="G109" s="69"/>
      <x:c r="H109" s="69"/>
      <x:c r="I109" s="70" t="n">
        <x:f>IFERROR(H109/G109,0)</x:f>
        <x:v>0</x:v>
      </x:c>
      <x:c r="J109" s="68" t="n">
        <x:f>IFERROR(E109*H109,0)</x:f>
        <x:v>0</x:v>
      </x:c>
      <x:c r="K109" s="68" t="n">
        <x:f>IFERROR(J109/G109,0)</x:f>
        <x:v>0</x:v>
      </x:c>
      <x:c r="L109" s="50" t="str">
        <x:f>IF(B109="","",IF(J109=MAX(SUMIFS($J$2:$J$200,$B$2:$B$200,B109,$C$2:$C$200,C109,$D$2:$D$200,"A"),SUMIFS($J$2:$J$200,$B$2:$B$200,B109,$C$2:$C$200,C109,$D$2:$D$200,"B")),"Current Winner",""))</x:f>
      </x:c>
      <x:c r="M109" s="50"/>
      <x:c r="N109" s="50"/>
      <x:c r="O109" s="50"/>
      <x:c r="P109" s="50"/>
      <x:c r="Q109" s="50"/>
      <x:c r="R109" s="50"/>
      <x:c r="S109" s="50"/>
      <x:c r="T109" s="50"/>
      <x:c r="U109" s="50"/>
      <x:c r="V109" s="50"/>
      <x:c r="W109" s="50"/>
      <x:c r="X109" s="50"/>
      <x:c r="Y109" s="50"/>
      <x:c r="Z109" s="50"/>
    </x:row>
    <x:row r="110">
      <x:c r="A110" s="67"/>
      <x:c r="B110" s="50"/>
      <x:c r="C110" s="50"/>
      <x:c r="D110" s="50"/>
      <x:c r="E110" s="68"/>
      <x:c r="F110" s="50"/>
      <x:c r="G110" s="69"/>
      <x:c r="H110" s="69"/>
      <x:c r="I110" s="70" t="n">
        <x:f>IFERROR(H110/G110,0)</x:f>
        <x:v>0</x:v>
      </x:c>
      <x:c r="J110" s="68" t="n">
        <x:f>IFERROR(E110*H110,0)</x:f>
        <x:v>0</x:v>
      </x:c>
      <x:c r="K110" s="68" t="n">
        <x:f>IFERROR(J110/G110,0)</x:f>
        <x:v>0</x:v>
      </x:c>
      <x:c r="L110" s="50" t="str">
        <x:f>IF(B110="","",IF(J110=MAX(SUMIFS($J$2:$J$200,$B$2:$B$200,B110,$C$2:$C$200,C110,$D$2:$D$200,"A"),SUMIFS($J$2:$J$200,$B$2:$B$200,B110,$C$2:$C$200,C110,$D$2:$D$200,"B")),"Current Winner",""))</x:f>
      </x:c>
      <x:c r="M110" s="50"/>
      <x:c r="N110" s="50"/>
      <x:c r="O110" s="50"/>
      <x:c r="P110" s="50"/>
      <x:c r="Q110" s="50"/>
      <x:c r="R110" s="50"/>
      <x:c r="S110" s="50"/>
      <x:c r="T110" s="50"/>
      <x:c r="U110" s="50"/>
      <x:c r="V110" s="50"/>
      <x:c r="W110" s="50"/>
      <x:c r="X110" s="50"/>
      <x:c r="Y110" s="50"/>
      <x:c r="Z110" s="50"/>
    </x:row>
    <x:row r="111">
      <x:c r="A111" s="67"/>
      <x:c r="B111" s="50"/>
      <x:c r="C111" s="50"/>
      <x:c r="D111" s="50"/>
      <x:c r="E111" s="68"/>
      <x:c r="F111" s="50"/>
      <x:c r="G111" s="69"/>
      <x:c r="H111" s="69"/>
      <x:c r="I111" s="70" t="n">
        <x:f>IFERROR(H111/G111,0)</x:f>
        <x:v>0</x:v>
      </x:c>
      <x:c r="J111" s="68" t="n">
        <x:f>IFERROR(E111*H111,0)</x:f>
        <x:v>0</x:v>
      </x:c>
      <x:c r="K111" s="68" t="n">
        <x:f>IFERROR(J111/G111,0)</x:f>
        <x:v>0</x:v>
      </x:c>
      <x:c r="L111" s="50" t="str">
        <x:f>IF(B111="","",IF(J111=MAX(SUMIFS($J$2:$J$200,$B$2:$B$200,B111,$C$2:$C$200,C111,$D$2:$D$200,"A"),SUMIFS($J$2:$J$200,$B$2:$B$200,B111,$C$2:$C$200,C111,$D$2:$D$200,"B")),"Current Winner",""))</x:f>
      </x:c>
      <x:c r="M111" s="50"/>
      <x:c r="N111" s="50"/>
      <x:c r="O111" s="50"/>
      <x:c r="P111" s="50"/>
      <x:c r="Q111" s="50"/>
      <x:c r="R111" s="50"/>
      <x:c r="S111" s="50"/>
      <x:c r="T111" s="50"/>
      <x:c r="U111" s="50"/>
      <x:c r="V111" s="50"/>
      <x:c r="W111" s="50"/>
      <x:c r="X111" s="50"/>
      <x:c r="Y111" s="50"/>
      <x:c r="Z111" s="50"/>
    </x:row>
    <x:row r="112">
      <x:c r="A112" s="67"/>
      <x:c r="B112" s="50"/>
      <x:c r="C112" s="50"/>
      <x:c r="D112" s="50"/>
      <x:c r="E112" s="68"/>
      <x:c r="F112" s="50"/>
      <x:c r="G112" s="69"/>
      <x:c r="H112" s="69"/>
      <x:c r="I112" s="70" t="n">
        <x:f>IFERROR(H112/G112,0)</x:f>
        <x:v>0</x:v>
      </x:c>
      <x:c r="J112" s="68" t="n">
        <x:f>IFERROR(E112*H112,0)</x:f>
        <x:v>0</x:v>
      </x:c>
      <x:c r="K112" s="68" t="n">
        <x:f>IFERROR(J112/G112,0)</x:f>
        <x:v>0</x:v>
      </x:c>
      <x:c r="L112" s="50" t="str">
        <x:f>IF(B112="","",IF(J112=MAX(SUMIFS($J$2:$J$200,$B$2:$B$200,B112,$C$2:$C$200,C112,$D$2:$D$200,"A"),SUMIFS($J$2:$J$200,$B$2:$B$200,B112,$C$2:$C$200,C112,$D$2:$D$200,"B")),"Current Winner",""))</x:f>
      </x:c>
      <x:c r="M112" s="50"/>
      <x:c r="N112" s="50"/>
      <x:c r="O112" s="50"/>
      <x:c r="P112" s="50"/>
      <x:c r="Q112" s="50"/>
      <x:c r="R112" s="50"/>
      <x:c r="S112" s="50"/>
      <x:c r="T112" s="50"/>
      <x:c r="U112" s="50"/>
      <x:c r="V112" s="50"/>
      <x:c r="W112" s="50"/>
      <x:c r="X112" s="50"/>
      <x:c r="Y112" s="50"/>
      <x:c r="Z112" s="50"/>
    </x:row>
    <x:row r="113">
      <x:c r="A113" s="67"/>
      <x:c r="B113" s="50"/>
      <x:c r="C113" s="50"/>
      <x:c r="D113" s="50"/>
      <x:c r="E113" s="68"/>
      <x:c r="F113" s="50"/>
      <x:c r="G113" s="69"/>
      <x:c r="H113" s="69"/>
      <x:c r="I113" s="70" t="n">
        <x:f>IFERROR(H113/G113,0)</x:f>
        <x:v>0</x:v>
      </x:c>
      <x:c r="J113" s="68" t="n">
        <x:f>IFERROR(E113*H113,0)</x:f>
        <x:v>0</x:v>
      </x:c>
      <x:c r="K113" s="68" t="n">
        <x:f>IFERROR(J113/G113,0)</x:f>
        <x:v>0</x:v>
      </x:c>
      <x:c r="L113" s="50" t="str">
        <x:f>IF(B113="","",IF(J113=MAX(SUMIFS($J$2:$J$200,$B$2:$B$200,B113,$C$2:$C$200,C113,$D$2:$D$200,"A"),SUMIFS($J$2:$J$200,$B$2:$B$200,B113,$C$2:$C$200,C113,$D$2:$D$200,"B")),"Current Winner",""))</x:f>
      </x:c>
      <x:c r="M113" s="50"/>
      <x:c r="N113" s="50"/>
      <x:c r="O113" s="50"/>
      <x:c r="P113" s="50"/>
      <x:c r="Q113" s="50"/>
      <x:c r="R113" s="50"/>
      <x:c r="S113" s="50"/>
      <x:c r="T113" s="50"/>
      <x:c r="U113" s="50"/>
      <x:c r="V113" s="50"/>
      <x:c r="W113" s="50"/>
      <x:c r="X113" s="50"/>
      <x:c r="Y113" s="50"/>
      <x:c r="Z113" s="50"/>
    </x:row>
    <x:row r="114">
      <x:c r="A114" s="67"/>
      <x:c r="B114" s="50"/>
      <x:c r="C114" s="50"/>
      <x:c r="D114" s="50"/>
      <x:c r="E114" s="68"/>
      <x:c r="F114" s="50"/>
      <x:c r="G114" s="69"/>
      <x:c r="H114" s="69"/>
      <x:c r="I114" s="70" t="n">
        <x:f>IFERROR(H114/G114,0)</x:f>
        <x:v>0</x:v>
      </x:c>
      <x:c r="J114" s="68" t="n">
        <x:f>IFERROR(E114*H114,0)</x:f>
        <x:v>0</x:v>
      </x:c>
      <x:c r="K114" s="68" t="n">
        <x:f>IFERROR(J114/G114,0)</x:f>
        <x:v>0</x:v>
      </x:c>
      <x:c r="L114" s="50" t="str">
        <x:f>IF(B114="","",IF(J114=MAX(SUMIFS($J$2:$J$200,$B$2:$B$200,B114,$C$2:$C$200,C114,$D$2:$D$200,"A"),SUMIFS($J$2:$J$200,$B$2:$B$200,B114,$C$2:$C$200,C114,$D$2:$D$200,"B")),"Current Winner",""))</x:f>
      </x:c>
      <x:c r="M114" s="50"/>
      <x:c r="N114" s="50"/>
      <x:c r="O114" s="50"/>
      <x:c r="P114" s="50"/>
      <x:c r="Q114" s="50"/>
      <x:c r="R114" s="50"/>
      <x:c r="S114" s="50"/>
      <x:c r="T114" s="50"/>
      <x:c r="U114" s="50"/>
      <x:c r="V114" s="50"/>
      <x:c r="W114" s="50"/>
      <x:c r="X114" s="50"/>
      <x:c r="Y114" s="50"/>
      <x:c r="Z114" s="50"/>
    </x:row>
    <x:row r="115">
      <x:c r="A115" s="67"/>
      <x:c r="B115" s="50"/>
      <x:c r="C115" s="50"/>
      <x:c r="D115" s="50"/>
      <x:c r="E115" s="68"/>
      <x:c r="F115" s="50"/>
      <x:c r="G115" s="69"/>
      <x:c r="H115" s="69"/>
      <x:c r="I115" s="70" t="n">
        <x:f>IFERROR(H115/G115,0)</x:f>
        <x:v>0</x:v>
      </x:c>
      <x:c r="J115" s="68" t="n">
        <x:f>IFERROR(E115*H115,0)</x:f>
        <x:v>0</x:v>
      </x:c>
      <x:c r="K115" s="68" t="n">
        <x:f>IFERROR(J115/G115,0)</x:f>
        <x:v>0</x:v>
      </x:c>
      <x:c r="L115" s="50" t="str">
        <x:f>IF(B115="","",IF(J115=MAX(SUMIFS($J$2:$J$200,$B$2:$B$200,B115,$C$2:$C$200,C115,$D$2:$D$200,"A"),SUMIFS($J$2:$J$200,$B$2:$B$200,B115,$C$2:$C$200,C115,$D$2:$D$200,"B")),"Current Winner",""))</x:f>
      </x:c>
      <x:c r="M115" s="50"/>
      <x:c r="N115" s="50"/>
      <x:c r="O115" s="50"/>
      <x:c r="P115" s="50"/>
      <x:c r="Q115" s="50"/>
      <x:c r="R115" s="50"/>
      <x:c r="S115" s="50"/>
      <x:c r="T115" s="50"/>
      <x:c r="U115" s="50"/>
      <x:c r="V115" s="50"/>
      <x:c r="W115" s="50"/>
      <x:c r="X115" s="50"/>
      <x:c r="Y115" s="50"/>
      <x:c r="Z115" s="50"/>
    </x:row>
    <x:row r="116">
      <x:c r="A116" s="67"/>
      <x:c r="B116" s="50"/>
      <x:c r="C116" s="50"/>
      <x:c r="D116" s="50"/>
      <x:c r="E116" s="68"/>
      <x:c r="F116" s="50"/>
      <x:c r="G116" s="69"/>
      <x:c r="H116" s="69"/>
      <x:c r="I116" s="70" t="n">
        <x:f>IFERROR(H116/G116,0)</x:f>
        <x:v>0</x:v>
      </x:c>
      <x:c r="J116" s="68" t="n">
        <x:f>IFERROR(E116*H116,0)</x:f>
        <x:v>0</x:v>
      </x:c>
      <x:c r="K116" s="68" t="n">
        <x:f>IFERROR(J116/G116,0)</x:f>
        <x:v>0</x:v>
      </x:c>
      <x:c r="L116" s="50" t="str">
        <x:f>IF(B116="","",IF(J116=MAX(SUMIFS($J$2:$J$200,$B$2:$B$200,B116,$C$2:$C$200,C116,$D$2:$D$200,"A"),SUMIFS($J$2:$J$200,$B$2:$B$200,B116,$C$2:$C$200,C116,$D$2:$D$200,"B")),"Current Winner",""))</x:f>
      </x:c>
      <x:c r="M116" s="50"/>
      <x:c r="N116" s="50"/>
      <x:c r="O116" s="50"/>
      <x:c r="P116" s="50"/>
      <x:c r="Q116" s="50"/>
      <x:c r="R116" s="50"/>
      <x:c r="S116" s="50"/>
      <x:c r="T116" s="50"/>
      <x:c r="U116" s="50"/>
      <x:c r="V116" s="50"/>
      <x:c r="W116" s="50"/>
      <x:c r="X116" s="50"/>
      <x:c r="Y116" s="50"/>
      <x:c r="Z116" s="50"/>
    </x:row>
    <x:row r="117">
      <x:c r="A117" s="67"/>
      <x:c r="B117" s="50"/>
      <x:c r="C117" s="50"/>
      <x:c r="D117" s="50"/>
      <x:c r="E117" s="68"/>
      <x:c r="F117" s="50"/>
      <x:c r="G117" s="69"/>
      <x:c r="H117" s="69"/>
      <x:c r="I117" s="70" t="n">
        <x:f>IFERROR(H117/G117,0)</x:f>
        <x:v>0</x:v>
      </x:c>
      <x:c r="J117" s="68" t="n">
        <x:f>IFERROR(E117*H117,0)</x:f>
        <x:v>0</x:v>
      </x:c>
      <x:c r="K117" s="68" t="n">
        <x:f>IFERROR(J117/G117,0)</x:f>
        <x:v>0</x:v>
      </x:c>
      <x:c r="L117" s="50" t="str">
        <x:f>IF(B117="","",IF(J117=MAX(SUMIFS($J$2:$J$200,$B$2:$B$200,B117,$C$2:$C$200,C117,$D$2:$D$200,"A"),SUMIFS($J$2:$J$200,$B$2:$B$200,B117,$C$2:$C$200,C117,$D$2:$D$200,"B")),"Current Winner",""))</x:f>
      </x:c>
      <x:c r="M117" s="50"/>
      <x:c r="N117" s="50"/>
      <x:c r="O117" s="50"/>
      <x:c r="P117" s="50"/>
      <x:c r="Q117" s="50"/>
      <x:c r="R117" s="50"/>
      <x:c r="S117" s="50"/>
      <x:c r="T117" s="50"/>
      <x:c r="U117" s="50"/>
      <x:c r="V117" s="50"/>
      <x:c r="W117" s="50"/>
      <x:c r="X117" s="50"/>
      <x:c r="Y117" s="50"/>
      <x:c r="Z117" s="50"/>
    </x:row>
    <x:row r="118">
      <x:c r="A118" s="67"/>
      <x:c r="B118" s="50"/>
      <x:c r="C118" s="50"/>
      <x:c r="D118" s="50"/>
      <x:c r="E118" s="68"/>
      <x:c r="F118" s="50"/>
      <x:c r="G118" s="69"/>
      <x:c r="H118" s="69"/>
      <x:c r="I118" s="70" t="n">
        <x:f>IFERROR(H118/G118,0)</x:f>
        <x:v>0</x:v>
      </x:c>
      <x:c r="J118" s="68" t="n">
        <x:f>IFERROR(E118*H118,0)</x:f>
        <x:v>0</x:v>
      </x:c>
      <x:c r="K118" s="68" t="n">
        <x:f>IFERROR(J118/G118,0)</x:f>
        <x:v>0</x:v>
      </x:c>
      <x:c r="L118" s="50" t="str">
        <x:f>IF(B118="","",IF(J118=MAX(SUMIFS($J$2:$J$200,$B$2:$B$200,B118,$C$2:$C$200,C118,$D$2:$D$200,"A"),SUMIFS($J$2:$J$200,$B$2:$B$200,B118,$C$2:$C$200,C118,$D$2:$D$200,"B")),"Current Winner",""))</x:f>
      </x:c>
      <x:c r="M118" s="50"/>
      <x:c r="N118" s="50"/>
      <x:c r="O118" s="50"/>
      <x:c r="P118" s="50"/>
      <x:c r="Q118" s="50"/>
      <x:c r="R118" s="50"/>
      <x:c r="S118" s="50"/>
      <x:c r="T118" s="50"/>
      <x:c r="U118" s="50"/>
      <x:c r="V118" s="50"/>
      <x:c r="W118" s="50"/>
      <x:c r="X118" s="50"/>
      <x:c r="Y118" s="50"/>
      <x:c r="Z118" s="50"/>
    </x:row>
    <x:row r="119">
      <x:c r="A119" s="67"/>
      <x:c r="B119" s="50"/>
      <x:c r="C119" s="50"/>
      <x:c r="D119" s="50"/>
      <x:c r="E119" s="68"/>
      <x:c r="F119" s="50"/>
      <x:c r="G119" s="69"/>
      <x:c r="H119" s="69"/>
      <x:c r="I119" s="70" t="n">
        <x:f>IFERROR(H119/G119,0)</x:f>
        <x:v>0</x:v>
      </x:c>
      <x:c r="J119" s="68" t="n">
        <x:f>IFERROR(E119*H119,0)</x:f>
        <x:v>0</x:v>
      </x:c>
      <x:c r="K119" s="68" t="n">
        <x:f>IFERROR(J119/G119,0)</x:f>
        <x:v>0</x:v>
      </x:c>
      <x:c r="L119" s="50" t="str">
        <x:f>IF(B119="","",IF(J119=MAX(SUMIFS($J$2:$J$200,$B$2:$B$200,B119,$C$2:$C$200,C119,$D$2:$D$200,"A"),SUMIFS($J$2:$J$200,$B$2:$B$200,B119,$C$2:$C$200,C119,$D$2:$D$200,"B")),"Current Winner",""))</x:f>
      </x:c>
      <x:c r="M119" s="50"/>
      <x:c r="N119" s="50"/>
      <x:c r="O119" s="50"/>
      <x:c r="P119" s="50"/>
      <x:c r="Q119" s="50"/>
      <x:c r="R119" s="50"/>
      <x:c r="S119" s="50"/>
      <x:c r="T119" s="50"/>
      <x:c r="U119" s="50"/>
      <x:c r="V119" s="50"/>
      <x:c r="W119" s="50"/>
      <x:c r="X119" s="50"/>
      <x:c r="Y119" s="50"/>
      <x:c r="Z119" s="50"/>
    </x:row>
    <x:row r="120">
      <x:c r="A120" s="67"/>
      <x:c r="B120" s="50"/>
      <x:c r="C120" s="50"/>
      <x:c r="D120" s="50"/>
      <x:c r="E120" s="68"/>
      <x:c r="F120" s="50"/>
      <x:c r="G120" s="69"/>
      <x:c r="H120" s="69"/>
      <x:c r="I120" s="70" t="n">
        <x:f>IFERROR(H120/G120,0)</x:f>
        <x:v>0</x:v>
      </x:c>
      <x:c r="J120" s="68" t="n">
        <x:f>IFERROR(E120*H120,0)</x:f>
        <x:v>0</x:v>
      </x:c>
      <x:c r="K120" s="68" t="n">
        <x:f>IFERROR(J120/G120,0)</x:f>
        <x:v>0</x:v>
      </x:c>
      <x:c r="L120" s="50" t="str">
        <x:f>IF(B120="","",IF(J120=MAX(SUMIFS($J$2:$J$200,$B$2:$B$200,B120,$C$2:$C$200,C120,$D$2:$D$200,"A"),SUMIFS($J$2:$J$200,$B$2:$B$200,B120,$C$2:$C$200,C120,$D$2:$D$200,"B")),"Current Winner",""))</x:f>
      </x:c>
      <x:c r="M120" s="50"/>
      <x:c r="N120" s="50"/>
      <x:c r="O120" s="50"/>
      <x:c r="P120" s="50"/>
      <x:c r="Q120" s="50"/>
      <x:c r="R120" s="50"/>
      <x:c r="S120" s="50"/>
      <x:c r="T120" s="50"/>
      <x:c r="U120" s="50"/>
      <x:c r="V120" s="50"/>
      <x:c r="W120" s="50"/>
      <x:c r="X120" s="50"/>
      <x:c r="Y120" s="50"/>
      <x:c r="Z120" s="50"/>
    </x:row>
    <x:row r="121">
      <x:c r="A121" s="67"/>
      <x:c r="B121" s="50"/>
      <x:c r="C121" s="50"/>
      <x:c r="D121" s="50"/>
      <x:c r="E121" s="68"/>
      <x:c r="F121" s="50"/>
      <x:c r="G121" s="69"/>
      <x:c r="H121" s="69"/>
      <x:c r="I121" s="70" t="n">
        <x:f>IFERROR(H121/G121,0)</x:f>
        <x:v>0</x:v>
      </x:c>
      <x:c r="J121" s="68" t="n">
        <x:f>IFERROR(E121*H121,0)</x:f>
        <x:v>0</x:v>
      </x:c>
      <x:c r="K121" s="68" t="n">
        <x:f>IFERROR(J121/G121,0)</x:f>
        <x:v>0</x:v>
      </x:c>
      <x:c r="L121" s="50" t="str">
        <x:f>IF(B121="","",IF(J121=MAX(SUMIFS($J$2:$J$200,$B$2:$B$200,B121,$C$2:$C$200,C121,$D$2:$D$200,"A"),SUMIFS($J$2:$J$200,$B$2:$B$200,B121,$C$2:$C$200,C121,$D$2:$D$200,"B")),"Current Winner",""))</x:f>
      </x:c>
      <x:c r="M121" s="50"/>
      <x:c r="N121" s="50"/>
      <x:c r="O121" s="50"/>
      <x:c r="P121" s="50"/>
      <x:c r="Q121" s="50"/>
      <x:c r="R121" s="50"/>
      <x:c r="S121" s="50"/>
      <x:c r="T121" s="50"/>
      <x:c r="U121" s="50"/>
      <x:c r="V121" s="50"/>
      <x:c r="W121" s="50"/>
      <x:c r="X121" s="50"/>
      <x:c r="Y121" s="50"/>
      <x:c r="Z121" s="50"/>
    </x:row>
    <x:row r="122">
      <x:c r="A122" s="67"/>
      <x:c r="B122" s="50"/>
      <x:c r="C122" s="50"/>
      <x:c r="D122" s="50"/>
      <x:c r="E122" s="68"/>
      <x:c r="F122" s="50"/>
      <x:c r="G122" s="69"/>
      <x:c r="H122" s="69"/>
      <x:c r="I122" s="70" t="n">
        <x:f>IFERROR(H122/G122,0)</x:f>
        <x:v>0</x:v>
      </x:c>
      <x:c r="J122" s="68" t="n">
        <x:f>IFERROR(E122*H122,0)</x:f>
        <x:v>0</x:v>
      </x:c>
      <x:c r="K122" s="68" t="n">
        <x:f>IFERROR(J122/G122,0)</x:f>
        <x:v>0</x:v>
      </x:c>
      <x:c r="L122" s="50" t="str">
        <x:f>IF(B122="","",IF(J122=MAX(SUMIFS($J$2:$J$200,$B$2:$B$200,B122,$C$2:$C$200,C122,$D$2:$D$200,"A"),SUMIFS($J$2:$J$200,$B$2:$B$200,B122,$C$2:$C$200,C122,$D$2:$D$200,"B")),"Current Winner",""))</x:f>
      </x:c>
      <x:c r="M122" s="50"/>
      <x:c r="N122" s="50"/>
      <x:c r="O122" s="50"/>
      <x:c r="P122" s="50"/>
      <x:c r="Q122" s="50"/>
      <x:c r="R122" s="50"/>
      <x:c r="S122" s="50"/>
      <x:c r="T122" s="50"/>
      <x:c r="U122" s="50"/>
      <x:c r="V122" s="50"/>
      <x:c r="W122" s="50"/>
      <x:c r="X122" s="50"/>
      <x:c r="Y122" s="50"/>
      <x:c r="Z122" s="50"/>
    </x:row>
    <x:row r="123">
      <x:c r="A123" s="67"/>
      <x:c r="B123" s="50"/>
      <x:c r="C123" s="50"/>
      <x:c r="D123" s="50"/>
      <x:c r="E123" s="68"/>
      <x:c r="F123" s="50"/>
      <x:c r="G123" s="69"/>
      <x:c r="H123" s="69"/>
      <x:c r="I123" s="70" t="n">
        <x:f>IFERROR(H123/G123,0)</x:f>
        <x:v>0</x:v>
      </x:c>
      <x:c r="J123" s="68" t="n">
        <x:f>IFERROR(E123*H123,0)</x:f>
        <x:v>0</x:v>
      </x:c>
      <x:c r="K123" s="68" t="n">
        <x:f>IFERROR(J123/G123,0)</x:f>
        <x:v>0</x:v>
      </x:c>
      <x:c r="L123" s="50" t="str">
        <x:f>IF(B123="","",IF(J123=MAX(SUMIFS($J$2:$J$200,$B$2:$B$200,B123,$C$2:$C$200,C123,$D$2:$D$200,"A"),SUMIFS($J$2:$J$200,$B$2:$B$200,B123,$C$2:$C$200,C123,$D$2:$D$200,"B")),"Current Winner",""))</x:f>
      </x:c>
      <x:c r="M123" s="50"/>
      <x:c r="N123" s="50"/>
      <x:c r="O123" s="50"/>
      <x:c r="P123" s="50"/>
      <x:c r="Q123" s="50"/>
      <x:c r="R123" s="50"/>
      <x:c r="S123" s="50"/>
      <x:c r="T123" s="50"/>
      <x:c r="U123" s="50"/>
      <x:c r="V123" s="50"/>
      <x:c r="W123" s="50"/>
      <x:c r="X123" s="50"/>
      <x:c r="Y123" s="50"/>
      <x:c r="Z123" s="50"/>
    </x:row>
    <x:row r="124">
      <x:c r="A124" s="67"/>
      <x:c r="B124" s="50"/>
      <x:c r="C124" s="50"/>
      <x:c r="D124" s="50"/>
      <x:c r="E124" s="68"/>
      <x:c r="F124" s="50"/>
      <x:c r="G124" s="69"/>
      <x:c r="H124" s="69"/>
      <x:c r="I124" s="70" t="n">
        <x:f>IFERROR(H124/G124,0)</x:f>
        <x:v>0</x:v>
      </x:c>
      <x:c r="J124" s="68" t="n">
        <x:f>IFERROR(E124*H124,0)</x:f>
        <x:v>0</x:v>
      </x:c>
      <x:c r="K124" s="68" t="n">
        <x:f>IFERROR(J124/G124,0)</x:f>
        <x:v>0</x:v>
      </x:c>
      <x:c r="L124" s="50" t="str">
        <x:f>IF(B124="","",IF(J124=MAX(SUMIFS($J$2:$J$200,$B$2:$B$200,B124,$C$2:$C$200,C124,$D$2:$D$200,"A"),SUMIFS($J$2:$J$200,$B$2:$B$200,B124,$C$2:$C$200,C124,$D$2:$D$200,"B")),"Current Winner",""))</x:f>
      </x:c>
      <x:c r="M124" s="50"/>
      <x:c r="N124" s="50"/>
      <x:c r="O124" s="50"/>
      <x:c r="P124" s="50"/>
      <x:c r="Q124" s="50"/>
      <x:c r="R124" s="50"/>
      <x:c r="S124" s="50"/>
      <x:c r="T124" s="50"/>
      <x:c r="U124" s="50"/>
      <x:c r="V124" s="50"/>
      <x:c r="W124" s="50"/>
      <x:c r="X124" s="50"/>
      <x:c r="Y124" s="50"/>
      <x:c r="Z124" s="50"/>
    </x:row>
    <x:row r="125">
      <x:c r="A125" s="67"/>
      <x:c r="B125" s="50"/>
      <x:c r="C125" s="50"/>
      <x:c r="D125" s="50"/>
      <x:c r="E125" s="68"/>
      <x:c r="F125" s="50"/>
      <x:c r="G125" s="69"/>
      <x:c r="H125" s="69"/>
      <x:c r="I125" s="70" t="n">
        <x:f>IFERROR(H125/G125,0)</x:f>
        <x:v>0</x:v>
      </x:c>
      <x:c r="J125" s="68" t="n">
        <x:f>IFERROR(E125*H125,0)</x:f>
        <x:v>0</x:v>
      </x:c>
      <x:c r="K125" s="68" t="n">
        <x:f>IFERROR(J125/G125,0)</x:f>
        <x:v>0</x:v>
      </x:c>
      <x:c r="L125" s="50" t="str">
        <x:f>IF(B125="","",IF(J125=MAX(SUMIFS($J$2:$J$200,$B$2:$B$200,B125,$C$2:$C$200,C125,$D$2:$D$200,"A"),SUMIFS($J$2:$J$200,$B$2:$B$200,B125,$C$2:$C$200,C125,$D$2:$D$200,"B")),"Current Winner",""))</x:f>
      </x:c>
      <x:c r="M125" s="50"/>
      <x:c r="N125" s="50"/>
      <x:c r="O125" s="50"/>
      <x:c r="P125" s="50"/>
      <x:c r="Q125" s="50"/>
      <x:c r="R125" s="50"/>
      <x:c r="S125" s="50"/>
      <x:c r="T125" s="50"/>
      <x:c r="U125" s="50"/>
      <x:c r="V125" s="50"/>
      <x:c r="W125" s="50"/>
      <x:c r="X125" s="50"/>
      <x:c r="Y125" s="50"/>
      <x:c r="Z125" s="50"/>
    </x:row>
    <x:row r="126">
      <x:c r="A126" s="67"/>
      <x:c r="B126" s="50"/>
      <x:c r="C126" s="50"/>
      <x:c r="D126" s="50"/>
      <x:c r="E126" s="68"/>
      <x:c r="F126" s="50"/>
      <x:c r="G126" s="69"/>
      <x:c r="H126" s="69"/>
      <x:c r="I126" s="70" t="n">
        <x:f>IFERROR(H126/G126,0)</x:f>
        <x:v>0</x:v>
      </x:c>
      <x:c r="J126" s="68" t="n">
        <x:f>IFERROR(E126*H126,0)</x:f>
        <x:v>0</x:v>
      </x:c>
      <x:c r="K126" s="68" t="n">
        <x:f>IFERROR(J126/G126,0)</x:f>
        <x:v>0</x:v>
      </x:c>
      <x:c r="L126" s="50" t="str">
        <x:f>IF(B126="","",IF(J126=MAX(SUMIFS($J$2:$J$200,$B$2:$B$200,B126,$C$2:$C$200,C126,$D$2:$D$200,"A"),SUMIFS($J$2:$J$200,$B$2:$B$200,B126,$C$2:$C$200,C126,$D$2:$D$200,"B")),"Current Winner",""))</x:f>
      </x:c>
      <x:c r="M126" s="50"/>
      <x:c r="N126" s="50"/>
      <x:c r="O126" s="50"/>
      <x:c r="P126" s="50"/>
      <x:c r="Q126" s="50"/>
      <x:c r="R126" s="50"/>
      <x:c r="S126" s="50"/>
      <x:c r="T126" s="50"/>
      <x:c r="U126" s="50"/>
      <x:c r="V126" s="50"/>
      <x:c r="W126" s="50"/>
      <x:c r="X126" s="50"/>
      <x:c r="Y126" s="50"/>
      <x:c r="Z126" s="50"/>
    </x:row>
    <x:row r="127">
      <x:c r="A127" s="67"/>
      <x:c r="B127" s="50"/>
      <x:c r="C127" s="50"/>
      <x:c r="D127" s="50"/>
      <x:c r="E127" s="68"/>
      <x:c r="F127" s="50"/>
      <x:c r="G127" s="69"/>
      <x:c r="H127" s="69"/>
      <x:c r="I127" s="70" t="n">
        <x:f>IFERROR(H127/G127,0)</x:f>
        <x:v>0</x:v>
      </x:c>
      <x:c r="J127" s="68" t="n">
        <x:f>IFERROR(E127*H127,0)</x:f>
        <x:v>0</x:v>
      </x:c>
      <x:c r="K127" s="68" t="n">
        <x:f>IFERROR(J127/G127,0)</x:f>
        <x:v>0</x:v>
      </x:c>
      <x:c r="L127" s="50" t="str">
        <x:f>IF(B127="","",IF(J127=MAX(SUMIFS($J$2:$J$200,$B$2:$B$200,B127,$C$2:$C$200,C127,$D$2:$D$200,"A"),SUMIFS($J$2:$J$200,$B$2:$B$200,B127,$C$2:$C$200,C127,$D$2:$D$200,"B")),"Current Winner",""))</x:f>
      </x:c>
      <x:c r="M127" s="50"/>
      <x:c r="N127" s="50"/>
      <x:c r="O127" s="50"/>
      <x:c r="P127" s="50"/>
      <x:c r="Q127" s="50"/>
      <x:c r="R127" s="50"/>
      <x:c r="S127" s="50"/>
      <x:c r="T127" s="50"/>
      <x:c r="U127" s="50"/>
      <x:c r="V127" s="50"/>
      <x:c r="W127" s="50"/>
      <x:c r="X127" s="50"/>
      <x:c r="Y127" s="50"/>
      <x:c r="Z127" s="50"/>
    </x:row>
    <x:row r="128">
      <x:c r="A128" s="67"/>
      <x:c r="B128" s="50"/>
      <x:c r="C128" s="50"/>
      <x:c r="D128" s="50"/>
      <x:c r="E128" s="68"/>
      <x:c r="F128" s="50"/>
      <x:c r="G128" s="69"/>
      <x:c r="H128" s="69"/>
      <x:c r="I128" s="70" t="n">
        <x:f>IFERROR(H128/G128,0)</x:f>
        <x:v>0</x:v>
      </x:c>
      <x:c r="J128" s="68" t="n">
        <x:f>IFERROR(E128*H128,0)</x:f>
        <x:v>0</x:v>
      </x:c>
      <x:c r="K128" s="68" t="n">
        <x:f>IFERROR(J128/G128,0)</x:f>
        <x:v>0</x:v>
      </x:c>
      <x:c r="L128" s="50" t="str">
        <x:f>IF(B128="","",IF(J128=MAX(SUMIFS($J$2:$J$200,$B$2:$B$200,B128,$C$2:$C$200,C128,$D$2:$D$200,"A"),SUMIFS($J$2:$J$200,$B$2:$B$200,B128,$C$2:$C$200,C128,$D$2:$D$200,"B")),"Current Winner",""))</x:f>
      </x:c>
      <x:c r="M128" s="50"/>
      <x:c r="N128" s="50"/>
      <x:c r="O128" s="50"/>
      <x:c r="P128" s="50"/>
      <x:c r="Q128" s="50"/>
      <x:c r="R128" s="50"/>
      <x:c r="S128" s="50"/>
      <x:c r="T128" s="50"/>
      <x:c r="U128" s="50"/>
      <x:c r="V128" s="50"/>
      <x:c r="W128" s="50"/>
      <x:c r="X128" s="50"/>
      <x:c r="Y128" s="50"/>
      <x:c r="Z128" s="50"/>
    </x:row>
    <x:row r="129">
      <x:c r="A129" s="67"/>
      <x:c r="B129" s="50"/>
      <x:c r="C129" s="50"/>
      <x:c r="D129" s="50"/>
      <x:c r="E129" s="68"/>
      <x:c r="F129" s="50"/>
      <x:c r="G129" s="69"/>
      <x:c r="H129" s="69"/>
      <x:c r="I129" s="70" t="n">
        <x:f>IFERROR(H129/G129,0)</x:f>
        <x:v>0</x:v>
      </x:c>
      <x:c r="J129" s="68" t="n">
        <x:f>IFERROR(E129*H129,0)</x:f>
        <x:v>0</x:v>
      </x:c>
      <x:c r="K129" s="68" t="n">
        <x:f>IFERROR(J129/G129,0)</x:f>
        <x:v>0</x:v>
      </x:c>
      <x:c r="L129" s="50" t="str">
        <x:f>IF(B129="","",IF(J129=MAX(SUMIFS($J$2:$J$200,$B$2:$B$200,B129,$C$2:$C$200,C129,$D$2:$D$200,"A"),SUMIFS($J$2:$J$200,$B$2:$B$200,B129,$C$2:$C$200,C129,$D$2:$D$200,"B")),"Current Winner",""))</x:f>
      </x:c>
      <x:c r="M129" s="50"/>
      <x:c r="N129" s="50"/>
      <x:c r="O129" s="50"/>
      <x:c r="P129" s="50"/>
      <x:c r="Q129" s="50"/>
      <x:c r="R129" s="50"/>
      <x:c r="S129" s="50"/>
      <x:c r="T129" s="50"/>
      <x:c r="U129" s="50"/>
      <x:c r="V129" s="50"/>
      <x:c r="W129" s="50"/>
      <x:c r="X129" s="50"/>
      <x:c r="Y129" s="50"/>
      <x:c r="Z129" s="50"/>
    </x:row>
    <x:row r="130">
      <x:c r="A130" s="67"/>
      <x:c r="B130" s="50"/>
      <x:c r="C130" s="50"/>
      <x:c r="D130" s="50"/>
      <x:c r="E130" s="68"/>
      <x:c r="F130" s="50"/>
      <x:c r="G130" s="69"/>
      <x:c r="H130" s="69"/>
      <x:c r="I130" s="70" t="n">
        <x:f>IFERROR(H130/G130,0)</x:f>
        <x:v>0</x:v>
      </x:c>
      <x:c r="J130" s="68" t="n">
        <x:f>IFERROR(E130*H130,0)</x:f>
        <x:v>0</x:v>
      </x:c>
      <x:c r="K130" s="68" t="n">
        <x:f>IFERROR(J130/G130,0)</x:f>
        <x:v>0</x:v>
      </x:c>
      <x:c r="L130" s="50" t="str">
        <x:f>IF(B130="","",IF(J130=MAX(SUMIFS($J$2:$J$200,$B$2:$B$200,B130,$C$2:$C$200,C130,$D$2:$D$200,"A"),SUMIFS($J$2:$J$200,$B$2:$B$200,B130,$C$2:$C$200,C130,$D$2:$D$200,"B")),"Current Winner",""))</x:f>
      </x:c>
      <x:c r="M130" s="50"/>
      <x:c r="N130" s="50"/>
      <x:c r="O130" s="50"/>
      <x:c r="P130" s="50"/>
      <x:c r="Q130" s="50"/>
      <x:c r="R130" s="50"/>
      <x:c r="S130" s="50"/>
      <x:c r="T130" s="50"/>
      <x:c r="U130" s="50"/>
      <x:c r="V130" s="50"/>
      <x:c r="W130" s="50"/>
      <x:c r="X130" s="50"/>
      <x:c r="Y130" s="50"/>
      <x:c r="Z130" s="50"/>
    </x:row>
    <x:row r="131">
      <x:c r="A131" s="67"/>
      <x:c r="B131" s="50"/>
      <x:c r="C131" s="50"/>
      <x:c r="D131" s="50"/>
      <x:c r="E131" s="68"/>
      <x:c r="F131" s="50"/>
      <x:c r="G131" s="69"/>
      <x:c r="H131" s="69"/>
      <x:c r="I131" s="70" t="n">
        <x:f>IFERROR(H131/G131,0)</x:f>
        <x:v>0</x:v>
      </x:c>
      <x:c r="J131" s="68" t="n">
        <x:f>IFERROR(E131*H131,0)</x:f>
        <x:v>0</x:v>
      </x:c>
      <x:c r="K131" s="68" t="n">
        <x:f>IFERROR(J131/G131,0)</x:f>
        <x:v>0</x:v>
      </x:c>
      <x:c r="L131" s="50" t="str">
        <x:f>IF(B131="","",IF(J131=MAX(SUMIFS($J$2:$J$200,$B$2:$B$200,B131,$C$2:$C$200,C131,$D$2:$D$200,"A"),SUMIFS($J$2:$J$200,$B$2:$B$200,B131,$C$2:$C$200,C131,$D$2:$D$200,"B")),"Current Winner",""))</x:f>
      </x:c>
      <x:c r="M131" s="50"/>
      <x:c r="N131" s="50"/>
      <x:c r="O131" s="50"/>
      <x:c r="P131" s="50"/>
      <x:c r="Q131" s="50"/>
      <x:c r="R131" s="50"/>
      <x:c r="S131" s="50"/>
      <x:c r="T131" s="50"/>
      <x:c r="U131" s="50"/>
      <x:c r="V131" s="50"/>
      <x:c r="W131" s="50"/>
      <x:c r="X131" s="50"/>
      <x:c r="Y131" s="50"/>
      <x:c r="Z131" s="50"/>
    </x:row>
    <x:row r="132">
      <x:c r="A132" s="67"/>
      <x:c r="B132" s="50"/>
      <x:c r="C132" s="50"/>
      <x:c r="D132" s="50"/>
      <x:c r="E132" s="68"/>
      <x:c r="F132" s="50"/>
      <x:c r="G132" s="69"/>
      <x:c r="H132" s="69"/>
      <x:c r="I132" s="70" t="n">
        <x:f>IFERROR(H132/G132,0)</x:f>
        <x:v>0</x:v>
      </x:c>
      <x:c r="J132" s="68" t="n">
        <x:f>IFERROR(E132*H132,0)</x:f>
        <x:v>0</x:v>
      </x:c>
      <x:c r="K132" s="68" t="n">
        <x:f>IFERROR(J132/G132,0)</x:f>
        <x:v>0</x:v>
      </x:c>
      <x:c r="L132" s="50" t="str">
        <x:f>IF(B132="","",IF(J132=MAX(SUMIFS($J$2:$J$200,$B$2:$B$200,B132,$C$2:$C$200,C132,$D$2:$D$200,"A"),SUMIFS($J$2:$J$200,$B$2:$B$200,B132,$C$2:$C$200,C132,$D$2:$D$200,"B")),"Current Winner",""))</x:f>
      </x:c>
      <x:c r="M132" s="50"/>
      <x:c r="N132" s="50"/>
      <x:c r="O132" s="50"/>
      <x:c r="P132" s="50"/>
      <x:c r="Q132" s="50"/>
      <x:c r="R132" s="50"/>
      <x:c r="S132" s="50"/>
      <x:c r="T132" s="50"/>
      <x:c r="U132" s="50"/>
      <x:c r="V132" s="50"/>
      <x:c r="W132" s="50"/>
      <x:c r="X132" s="50"/>
      <x:c r="Y132" s="50"/>
      <x:c r="Z132" s="50"/>
    </x:row>
    <x:row r="133">
      <x:c r="A133" s="67"/>
      <x:c r="B133" s="50"/>
      <x:c r="C133" s="50"/>
      <x:c r="D133" s="50"/>
      <x:c r="E133" s="68"/>
      <x:c r="F133" s="50"/>
      <x:c r="G133" s="69"/>
      <x:c r="H133" s="69"/>
      <x:c r="I133" s="70" t="n">
        <x:f>IFERROR(H133/G133,0)</x:f>
        <x:v>0</x:v>
      </x:c>
      <x:c r="J133" s="68" t="n">
        <x:f>IFERROR(E133*H133,0)</x:f>
        <x:v>0</x:v>
      </x:c>
      <x:c r="K133" s="68" t="n">
        <x:f>IFERROR(J133/G133,0)</x:f>
        <x:v>0</x:v>
      </x:c>
      <x:c r="L133" s="50" t="str">
        <x:f>IF(B133="","",IF(J133=MAX(SUMIFS($J$2:$J$200,$B$2:$B$200,B133,$C$2:$C$200,C133,$D$2:$D$200,"A"),SUMIFS($J$2:$J$200,$B$2:$B$200,B133,$C$2:$C$200,C133,$D$2:$D$200,"B")),"Current Winner",""))</x:f>
      </x:c>
      <x:c r="M133" s="50"/>
      <x:c r="N133" s="50"/>
      <x:c r="O133" s="50"/>
      <x:c r="P133" s="50"/>
      <x:c r="Q133" s="50"/>
      <x:c r="R133" s="50"/>
      <x:c r="S133" s="50"/>
      <x:c r="T133" s="50"/>
      <x:c r="U133" s="50"/>
      <x:c r="V133" s="50"/>
      <x:c r="W133" s="50"/>
      <x:c r="X133" s="50"/>
      <x:c r="Y133" s="50"/>
      <x:c r="Z133" s="50"/>
    </x:row>
    <x:row r="134">
      <x:c r="A134" s="67"/>
      <x:c r="B134" s="50"/>
      <x:c r="C134" s="50"/>
      <x:c r="D134" s="50"/>
      <x:c r="E134" s="68"/>
      <x:c r="F134" s="50"/>
      <x:c r="G134" s="69"/>
      <x:c r="H134" s="69"/>
      <x:c r="I134" s="70" t="n">
        <x:f>IFERROR(H134/G134,0)</x:f>
        <x:v>0</x:v>
      </x:c>
      <x:c r="J134" s="68" t="n">
        <x:f>IFERROR(E134*H134,0)</x:f>
        <x:v>0</x:v>
      </x:c>
      <x:c r="K134" s="68" t="n">
        <x:f>IFERROR(J134/G134,0)</x:f>
        <x:v>0</x:v>
      </x:c>
      <x:c r="L134" s="50" t="str">
        <x:f>IF(B134="","",IF(J134=MAX(SUMIFS($J$2:$J$200,$B$2:$B$200,B134,$C$2:$C$200,C134,$D$2:$D$200,"A"),SUMIFS($J$2:$J$200,$B$2:$B$200,B134,$C$2:$C$200,C134,$D$2:$D$200,"B")),"Current Winner",""))</x:f>
      </x:c>
      <x:c r="M134" s="50"/>
      <x:c r="N134" s="50"/>
      <x:c r="O134" s="50"/>
      <x:c r="P134" s="50"/>
      <x:c r="Q134" s="50"/>
      <x:c r="R134" s="50"/>
      <x:c r="S134" s="50"/>
      <x:c r="T134" s="50"/>
      <x:c r="U134" s="50"/>
      <x:c r="V134" s="50"/>
      <x:c r="W134" s="50"/>
      <x:c r="X134" s="50"/>
      <x:c r="Y134" s="50"/>
      <x:c r="Z134" s="50"/>
    </x:row>
    <x:row r="135">
      <x:c r="A135" s="67"/>
      <x:c r="B135" s="50"/>
      <x:c r="C135" s="50"/>
      <x:c r="D135" s="50"/>
      <x:c r="E135" s="68"/>
      <x:c r="F135" s="50"/>
      <x:c r="G135" s="69"/>
      <x:c r="H135" s="69"/>
      <x:c r="I135" s="70" t="n">
        <x:f>IFERROR(H135/G135,0)</x:f>
        <x:v>0</x:v>
      </x:c>
      <x:c r="J135" s="68" t="n">
        <x:f>IFERROR(E135*H135,0)</x:f>
        <x:v>0</x:v>
      </x:c>
      <x:c r="K135" s="68" t="n">
        <x:f>IFERROR(J135/G135,0)</x:f>
        <x:v>0</x:v>
      </x:c>
      <x:c r="L135" s="50" t="str">
        <x:f>IF(B135="","",IF(J135=MAX(SUMIFS($J$2:$J$200,$B$2:$B$200,B135,$C$2:$C$200,C135,$D$2:$D$200,"A"),SUMIFS($J$2:$J$200,$B$2:$B$200,B135,$C$2:$C$200,C135,$D$2:$D$200,"B")),"Current Winner",""))</x:f>
      </x:c>
      <x:c r="M135" s="50"/>
      <x:c r="N135" s="50"/>
      <x:c r="O135" s="50"/>
      <x:c r="P135" s="50"/>
      <x:c r="Q135" s="50"/>
      <x:c r="R135" s="50"/>
      <x:c r="S135" s="50"/>
      <x:c r="T135" s="50"/>
      <x:c r="U135" s="50"/>
      <x:c r="V135" s="50"/>
      <x:c r="W135" s="50"/>
      <x:c r="X135" s="50"/>
      <x:c r="Y135" s="50"/>
      <x:c r="Z135" s="50"/>
    </x:row>
    <x:row r="136">
      <x:c r="A136" s="67"/>
      <x:c r="B136" s="50"/>
      <x:c r="C136" s="50"/>
      <x:c r="D136" s="50"/>
      <x:c r="E136" s="68"/>
      <x:c r="F136" s="50"/>
      <x:c r="G136" s="69"/>
      <x:c r="H136" s="69"/>
      <x:c r="I136" s="70" t="n">
        <x:f>IFERROR(H136/G136,0)</x:f>
        <x:v>0</x:v>
      </x:c>
      <x:c r="J136" s="68" t="n">
        <x:f>IFERROR(E136*H136,0)</x:f>
        <x:v>0</x:v>
      </x:c>
      <x:c r="K136" s="68" t="n">
        <x:f>IFERROR(J136/G136,0)</x:f>
        <x:v>0</x:v>
      </x:c>
      <x:c r="L136" s="50" t="str">
        <x:f>IF(B136="","",IF(J136=MAX(SUMIFS($J$2:$J$200,$B$2:$B$200,B136,$C$2:$C$200,C136,$D$2:$D$200,"A"),SUMIFS($J$2:$J$200,$B$2:$B$200,B136,$C$2:$C$200,C136,$D$2:$D$200,"B")),"Current Winner",""))</x:f>
      </x:c>
      <x:c r="M136" s="50"/>
      <x:c r="N136" s="50"/>
      <x:c r="O136" s="50"/>
      <x:c r="P136" s="50"/>
      <x:c r="Q136" s="50"/>
      <x:c r="R136" s="50"/>
      <x:c r="S136" s="50"/>
      <x:c r="T136" s="50"/>
      <x:c r="U136" s="50"/>
      <x:c r="V136" s="50"/>
      <x:c r="W136" s="50"/>
      <x:c r="X136" s="50"/>
      <x:c r="Y136" s="50"/>
      <x:c r="Z136" s="50"/>
    </x:row>
    <x:row r="137">
      <x:c r="A137" s="67"/>
      <x:c r="B137" s="50"/>
      <x:c r="C137" s="50"/>
      <x:c r="D137" s="50"/>
      <x:c r="E137" s="68"/>
      <x:c r="F137" s="50"/>
      <x:c r="G137" s="69"/>
      <x:c r="H137" s="69"/>
      <x:c r="I137" s="70" t="n">
        <x:f>IFERROR(H137/G137,0)</x:f>
        <x:v>0</x:v>
      </x:c>
      <x:c r="J137" s="68" t="n">
        <x:f>IFERROR(E137*H137,0)</x:f>
        <x:v>0</x:v>
      </x:c>
      <x:c r="K137" s="68" t="n">
        <x:f>IFERROR(J137/G137,0)</x:f>
        <x:v>0</x:v>
      </x:c>
      <x:c r="L137" s="50" t="str">
        <x:f>IF(B137="","",IF(J137=MAX(SUMIFS($J$2:$J$200,$B$2:$B$200,B137,$C$2:$C$200,C137,$D$2:$D$200,"A"),SUMIFS($J$2:$J$200,$B$2:$B$200,B137,$C$2:$C$200,C137,$D$2:$D$200,"B")),"Current Winner",""))</x:f>
      </x:c>
      <x:c r="M137" s="50"/>
      <x:c r="N137" s="50"/>
      <x:c r="O137" s="50"/>
      <x:c r="P137" s="50"/>
      <x:c r="Q137" s="50"/>
      <x:c r="R137" s="50"/>
      <x:c r="S137" s="50"/>
      <x:c r="T137" s="50"/>
      <x:c r="U137" s="50"/>
      <x:c r="V137" s="50"/>
      <x:c r="W137" s="50"/>
      <x:c r="X137" s="50"/>
      <x:c r="Y137" s="50"/>
      <x:c r="Z137" s="50"/>
    </x:row>
    <x:row r="138">
      <x:c r="A138" s="67"/>
      <x:c r="B138" s="50"/>
      <x:c r="C138" s="50"/>
      <x:c r="D138" s="50"/>
      <x:c r="E138" s="68"/>
      <x:c r="F138" s="50"/>
      <x:c r="G138" s="69"/>
      <x:c r="H138" s="69"/>
      <x:c r="I138" s="70" t="n">
        <x:f>IFERROR(H138/G138,0)</x:f>
        <x:v>0</x:v>
      </x:c>
      <x:c r="J138" s="68" t="n">
        <x:f>IFERROR(E138*H138,0)</x:f>
        <x:v>0</x:v>
      </x:c>
      <x:c r="K138" s="68" t="n">
        <x:f>IFERROR(J138/G138,0)</x:f>
        <x:v>0</x:v>
      </x:c>
      <x:c r="L138" s="50" t="str">
        <x:f>IF(B138="","",IF(J138=MAX(SUMIFS($J$2:$J$200,$B$2:$B$200,B138,$C$2:$C$200,C138,$D$2:$D$200,"A"),SUMIFS($J$2:$J$200,$B$2:$B$200,B138,$C$2:$C$200,C138,$D$2:$D$200,"B")),"Current Winner",""))</x:f>
      </x:c>
      <x:c r="M138" s="50"/>
      <x:c r="N138" s="50"/>
      <x:c r="O138" s="50"/>
      <x:c r="P138" s="50"/>
      <x:c r="Q138" s="50"/>
      <x:c r="R138" s="50"/>
      <x:c r="S138" s="50"/>
      <x:c r="T138" s="50"/>
      <x:c r="U138" s="50"/>
      <x:c r="V138" s="50"/>
      <x:c r="W138" s="50"/>
      <x:c r="X138" s="50"/>
      <x:c r="Y138" s="50"/>
      <x:c r="Z138" s="50"/>
    </x:row>
    <x:row r="139">
      <x:c r="A139" s="67"/>
      <x:c r="B139" s="50"/>
      <x:c r="C139" s="50"/>
      <x:c r="D139" s="50"/>
      <x:c r="E139" s="68"/>
      <x:c r="F139" s="50"/>
      <x:c r="G139" s="69"/>
      <x:c r="H139" s="69"/>
      <x:c r="I139" s="70" t="n">
        <x:f>IFERROR(H139/G139,0)</x:f>
        <x:v>0</x:v>
      </x:c>
      <x:c r="J139" s="68" t="n">
        <x:f>IFERROR(E139*H139,0)</x:f>
        <x:v>0</x:v>
      </x:c>
      <x:c r="K139" s="68" t="n">
        <x:f>IFERROR(J139/G139,0)</x:f>
        <x:v>0</x:v>
      </x:c>
      <x:c r="L139" s="50" t="str">
        <x:f>IF(B139="","",IF(J139=MAX(SUMIFS($J$2:$J$200,$B$2:$B$200,B139,$C$2:$C$200,C139,$D$2:$D$200,"A"),SUMIFS($J$2:$J$200,$B$2:$B$200,B139,$C$2:$C$200,C139,$D$2:$D$200,"B")),"Current Winner",""))</x:f>
      </x:c>
      <x:c r="M139" s="50"/>
      <x:c r="N139" s="50"/>
      <x:c r="O139" s="50"/>
      <x:c r="P139" s="50"/>
      <x:c r="Q139" s="50"/>
      <x:c r="R139" s="50"/>
      <x:c r="S139" s="50"/>
      <x:c r="T139" s="50"/>
      <x:c r="U139" s="50"/>
      <x:c r="V139" s="50"/>
      <x:c r="W139" s="50"/>
      <x:c r="X139" s="50"/>
      <x:c r="Y139" s="50"/>
      <x:c r="Z139" s="50"/>
    </x:row>
    <x:row r="140">
      <x:c r="A140" s="67"/>
      <x:c r="B140" s="50"/>
      <x:c r="C140" s="50"/>
      <x:c r="D140" s="50"/>
      <x:c r="E140" s="68"/>
      <x:c r="F140" s="50"/>
      <x:c r="G140" s="69"/>
      <x:c r="H140" s="69"/>
      <x:c r="I140" s="70" t="n">
        <x:f>IFERROR(H140/G140,0)</x:f>
        <x:v>0</x:v>
      </x:c>
      <x:c r="J140" s="68" t="n">
        <x:f>IFERROR(E140*H140,0)</x:f>
        <x:v>0</x:v>
      </x:c>
      <x:c r="K140" s="68" t="n">
        <x:f>IFERROR(J140/G140,0)</x:f>
        <x:v>0</x:v>
      </x:c>
      <x:c r="L140" s="50" t="str">
        <x:f>IF(B140="","",IF(J140=MAX(SUMIFS($J$2:$J$200,$B$2:$B$200,B140,$C$2:$C$200,C140,$D$2:$D$200,"A"),SUMIFS($J$2:$J$200,$B$2:$B$200,B140,$C$2:$C$200,C140,$D$2:$D$200,"B")),"Current Winner",""))</x:f>
      </x:c>
      <x:c r="M140" s="50"/>
      <x:c r="N140" s="50"/>
      <x:c r="O140" s="50"/>
      <x:c r="P140" s="50"/>
      <x:c r="Q140" s="50"/>
      <x:c r="R140" s="50"/>
      <x:c r="S140" s="50"/>
      <x:c r="T140" s="50"/>
      <x:c r="U140" s="50"/>
      <x:c r="V140" s="50"/>
      <x:c r="W140" s="50"/>
      <x:c r="X140" s="50"/>
      <x:c r="Y140" s="50"/>
      <x:c r="Z140" s="50"/>
    </x:row>
    <x:row r="141">
      <x:c r="A141" s="67"/>
      <x:c r="B141" s="50"/>
      <x:c r="C141" s="50"/>
      <x:c r="D141" s="50"/>
      <x:c r="E141" s="68"/>
      <x:c r="F141" s="50"/>
      <x:c r="G141" s="69"/>
      <x:c r="H141" s="69"/>
      <x:c r="I141" s="70" t="n">
        <x:f>IFERROR(H141/G141,0)</x:f>
        <x:v>0</x:v>
      </x:c>
      <x:c r="J141" s="68" t="n">
        <x:f>IFERROR(E141*H141,0)</x:f>
        <x:v>0</x:v>
      </x:c>
      <x:c r="K141" s="68" t="n">
        <x:f>IFERROR(J141/G141,0)</x:f>
        <x:v>0</x:v>
      </x:c>
      <x:c r="L141" s="50" t="str">
        <x:f>IF(B141="","",IF(J141=MAX(SUMIFS($J$2:$J$200,$B$2:$B$200,B141,$C$2:$C$200,C141,$D$2:$D$200,"A"),SUMIFS($J$2:$J$200,$B$2:$B$200,B141,$C$2:$C$200,C141,$D$2:$D$200,"B")),"Current Winner",""))</x:f>
      </x:c>
      <x:c r="M141" s="50"/>
      <x:c r="N141" s="50"/>
      <x:c r="O141" s="50"/>
      <x:c r="P141" s="50"/>
      <x:c r="Q141" s="50"/>
      <x:c r="R141" s="50"/>
      <x:c r="S141" s="50"/>
      <x:c r="T141" s="50"/>
      <x:c r="U141" s="50"/>
      <x:c r="V141" s="50"/>
      <x:c r="W141" s="50"/>
      <x:c r="X141" s="50"/>
      <x:c r="Y141" s="50"/>
      <x:c r="Z141" s="50"/>
    </x:row>
    <x:row r="142">
      <x:c r="A142" s="67"/>
      <x:c r="B142" s="50"/>
      <x:c r="C142" s="50"/>
      <x:c r="D142" s="50"/>
      <x:c r="E142" s="68"/>
      <x:c r="F142" s="50"/>
      <x:c r="G142" s="69"/>
      <x:c r="H142" s="69"/>
      <x:c r="I142" s="70" t="n">
        <x:f>IFERROR(H142/G142,0)</x:f>
        <x:v>0</x:v>
      </x:c>
      <x:c r="J142" s="68" t="n">
        <x:f>IFERROR(E142*H142,0)</x:f>
        <x:v>0</x:v>
      </x:c>
      <x:c r="K142" s="68" t="n">
        <x:f>IFERROR(J142/G142,0)</x:f>
        <x:v>0</x:v>
      </x:c>
      <x:c r="L142" s="50" t="str">
        <x:f>IF(B142="","",IF(J142=MAX(SUMIFS($J$2:$J$200,$B$2:$B$200,B142,$C$2:$C$200,C142,$D$2:$D$200,"A"),SUMIFS($J$2:$J$200,$B$2:$B$200,B142,$C$2:$C$200,C142,$D$2:$D$200,"B")),"Current Winner",""))</x:f>
      </x:c>
      <x:c r="M142" s="50"/>
      <x:c r="N142" s="50"/>
      <x:c r="O142" s="50"/>
      <x:c r="P142" s="50"/>
      <x:c r="Q142" s="50"/>
      <x:c r="R142" s="50"/>
      <x:c r="S142" s="50"/>
      <x:c r="T142" s="50"/>
      <x:c r="U142" s="50"/>
      <x:c r="V142" s="50"/>
      <x:c r="W142" s="50"/>
      <x:c r="X142" s="50"/>
      <x:c r="Y142" s="50"/>
      <x:c r="Z142" s="50"/>
    </x:row>
    <x:row r="143">
      <x:c r="A143" s="67"/>
      <x:c r="B143" s="50"/>
      <x:c r="C143" s="50"/>
      <x:c r="D143" s="50"/>
      <x:c r="E143" s="68"/>
      <x:c r="F143" s="50"/>
      <x:c r="G143" s="69"/>
      <x:c r="H143" s="69"/>
      <x:c r="I143" s="70" t="n">
        <x:f>IFERROR(H143/G143,0)</x:f>
        <x:v>0</x:v>
      </x:c>
      <x:c r="J143" s="68" t="n">
        <x:f>IFERROR(E143*H143,0)</x:f>
        <x:v>0</x:v>
      </x:c>
      <x:c r="K143" s="68" t="n">
        <x:f>IFERROR(J143/G143,0)</x:f>
        <x:v>0</x:v>
      </x:c>
      <x:c r="L143" s="50" t="str">
        <x:f>IF(B143="","",IF(J143=MAX(SUMIFS($J$2:$J$200,$B$2:$B$200,B143,$C$2:$C$200,C143,$D$2:$D$200,"A"),SUMIFS($J$2:$J$200,$B$2:$B$200,B143,$C$2:$C$200,C143,$D$2:$D$200,"B")),"Current Winner",""))</x:f>
      </x:c>
      <x:c r="M143" s="50"/>
      <x:c r="N143" s="50"/>
      <x:c r="O143" s="50"/>
      <x:c r="P143" s="50"/>
      <x:c r="Q143" s="50"/>
      <x:c r="R143" s="50"/>
      <x:c r="S143" s="50"/>
      <x:c r="T143" s="50"/>
      <x:c r="U143" s="50"/>
      <x:c r="V143" s="50"/>
      <x:c r="W143" s="50"/>
      <x:c r="X143" s="50"/>
      <x:c r="Y143" s="50"/>
      <x:c r="Z143" s="50"/>
    </x:row>
    <x:row r="144">
      <x:c r="A144" s="67"/>
      <x:c r="B144" s="50"/>
      <x:c r="C144" s="50"/>
      <x:c r="D144" s="50"/>
      <x:c r="E144" s="68"/>
      <x:c r="F144" s="50"/>
      <x:c r="G144" s="69"/>
      <x:c r="H144" s="69"/>
      <x:c r="I144" s="70" t="n">
        <x:f>IFERROR(H144/G144,0)</x:f>
        <x:v>0</x:v>
      </x:c>
      <x:c r="J144" s="68" t="n">
        <x:f>IFERROR(E144*H144,0)</x:f>
        <x:v>0</x:v>
      </x:c>
      <x:c r="K144" s="68" t="n">
        <x:f>IFERROR(J144/G144,0)</x:f>
        <x:v>0</x:v>
      </x:c>
      <x:c r="L144" s="50" t="str">
        <x:f>IF(B144="","",IF(J144=MAX(SUMIFS($J$2:$J$200,$B$2:$B$200,B144,$C$2:$C$200,C144,$D$2:$D$200,"A"),SUMIFS($J$2:$J$200,$B$2:$B$200,B144,$C$2:$C$200,C144,$D$2:$D$200,"B")),"Current Winner",""))</x:f>
      </x:c>
      <x:c r="M144" s="50"/>
      <x:c r="N144" s="50"/>
      <x:c r="O144" s="50"/>
      <x:c r="P144" s="50"/>
      <x:c r="Q144" s="50"/>
      <x:c r="R144" s="50"/>
      <x:c r="S144" s="50"/>
      <x:c r="T144" s="50"/>
      <x:c r="U144" s="50"/>
      <x:c r="V144" s="50"/>
      <x:c r="W144" s="50"/>
      <x:c r="X144" s="50"/>
      <x:c r="Y144" s="50"/>
      <x:c r="Z144" s="50"/>
    </x:row>
    <x:row r="145">
      <x:c r="A145" s="67"/>
      <x:c r="B145" s="50"/>
      <x:c r="C145" s="50"/>
      <x:c r="D145" s="50"/>
      <x:c r="E145" s="68"/>
      <x:c r="F145" s="50"/>
      <x:c r="G145" s="69"/>
      <x:c r="H145" s="69"/>
      <x:c r="I145" s="70" t="n">
        <x:f>IFERROR(H145/G145,0)</x:f>
        <x:v>0</x:v>
      </x:c>
      <x:c r="J145" s="68" t="n">
        <x:f>IFERROR(E145*H145,0)</x:f>
        <x:v>0</x:v>
      </x:c>
      <x:c r="K145" s="68" t="n">
        <x:f>IFERROR(J145/G145,0)</x:f>
        <x:v>0</x:v>
      </x:c>
      <x:c r="L145" s="50" t="str">
        <x:f>IF(B145="","",IF(J145=MAX(SUMIFS($J$2:$J$200,$B$2:$B$200,B145,$C$2:$C$200,C145,$D$2:$D$200,"A"),SUMIFS($J$2:$J$200,$B$2:$B$200,B145,$C$2:$C$200,C145,$D$2:$D$200,"B")),"Current Winner",""))</x:f>
      </x:c>
      <x:c r="M145" s="50"/>
      <x:c r="N145" s="50"/>
      <x:c r="O145" s="50"/>
      <x:c r="P145" s="50"/>
      <x:c r="Q145" s="50"/>
      <x:c r="R145" s="50"/>
      <x:c r="S145" s="50"/>
      <x:c r="T145" s="50"/>
      <x:c r="U145" s="50"/>
      <x:c r="V145" s="50"/>
      <x:c r="W145" s="50"/>
      <x:c r="X145" s="50"/>
      <x:c r="Y145" s="50"/>
      <x:c r="Z145" s="50"/>
    </x:row>
    <x:row r="146">
      <x:c r="A146" s="67"/>
      <x:c r="B146" s="50"/>
      <x:c r="C146" s="50"/>
      <x:c r="D146" s="50"/>
      <x:c r="E146" s="68"/>
      <x:c r="F146" s="50"/>
      <x:c r="G146" s="69"/>
      <x:c r="H146" s="69"/>
      <x:c r="I146" s="70" t="n">
        <x:f>IFERROR(H146/G146,0)</x:f>
        <x:v>0</x:v>
      </x:c>
      <x:c r="J146" s="68" t="n">
        <x:f>IFERROR(E146*H146,0)</x:f>
        <x:v>0</x:v>
      </x:c>
      <x:c r="K146" s="68" t="n">
        <x:f>IFERROR(J146/G146,0)</x:f>
        <x:v>0</x:v>
      </x:c>
      <x:c r="L146" s="50" t="str">
        <x:f>IF(B146="","",IF(J146=MAX(SUMIFS($J$2:$J$200,$B$2:$B$200,B146,$C$2:$C$200,C146,$D$2:$D$200,"A"),SUMIFS($J$2:$J$200,$B$2:$B$200,B146,$C$2:$C$200,C146,$D$2:$D$200,"B")),"Current Winner",""))</x:f>
      </x:c>
      <x:c r="M146" s="50"/>
      <x:c r="N146" s="50"/>
      <x:c r="O146" s="50"/>
      <x:c r="P146" s="50"/>
      <x:c r="Q146" s="50"/>
      <x:c r="R146" s="50"/>
      <x:c r="S146" s="50"/>
      <x:c r="T146" s="50"/>
      <x:c r="U146" s="50"/>
      <x:c r="V146" s="50"/>
      <x:c r="W146" s="50"/>
      <x:c r="X146" s="50"/>
      <x:c r="Y146" s="50"/>
      <x:c r="Z146" s="50"/>
    </x:row>
    <x:row r="147">
      <x:c r="A147" s="67"/>
      <x:c r="B147" s="50"/>
      <x:c r="C147" s="50"/>
      <x:c r="D147" s="50"/>
      <x:c r="E147" s="68"/>
      <x:c r="F147" s="50"/>
      <x:c r="G147" s="69"/>
      <x:c r="H147" s="69"/>
      <x:c r="I147" s="70" t="n">
        <x:f>IFERROR(H147/G147,0)</x:f>
        <x:v>0</x:v>
      </x:c>
      <x:c r="J147" s="68" t="n">
        <x:f>IFERROR(E147*H147,0)</x:f>
        <x:v>0</x:v>
      </x:c>
      <x:c r="K147" s="68" t="n">
        <x:f>IFERROR(J147/G147,0)</x:f>
        <x:v>0</x:v>
      </x:c>
      <x:c r="L147" s="50" t="str">
        <x:f>IF(B147="","",IF(J147=MAX(SUMIFS($J$2:$J$200,$B$2:$B$200,B147,$C$2:$C$200,C147,$D$2:$D$200,"A"),SUMIFS($J$2:$J$200,$B$2:$B$200,B147,$C$2:$C$200,C147,$D$2:$D$200,"B")),"Current Winner",""))</x:f>
      </x:c>
      <x:c r="M147" s="50"/>
      <x:c r="N147" s="50"/>
      <x:c r="O147" s="50"/>
      <x:c r="P147" s="50"/>
      <x:c r="Q147" s="50"/>
      <x:c r="R147" s="50"/>
      <x:c r="S147" s="50"/>
      <x:c r="T147" s="50"/>
      <x:c r="U147" s="50"/>
      <x:c r="V147" s="50"/>
      <x:c r="W147" s="50"/>
      <x:c r="X147" s="50"/>
      <x:c r="Y147" s="50"/>
      <x:c r="Z147" s="50"/>
    </x:row>
    <x:row r="148">
      <x:c r="A148" s="67"/>
      <x:c r="B148" s="50"/>
      <x:c r="C148" s="50"/>
      <x:c r="D148" s="50"/>
      <x:c r="E148" s="68"/>
      <x:c r="F148" s="50"/>
      <x:c r="G148" s="69"/>
      <x:c r="H148" s="69"/>
      <x:c r="I148" s="70" t="n">
        <x:f>IFERROR(H148/G148,0)</x:f>
        <x:v>0</x:v>
      </x:c>
      <x:c r="J148" s="68" t="n">
        <x:f>IFERROR(E148*H148,0)</x:f>
        <x:v>0</x:v>
      </x:c>
      <x:c r="K148" s="68" t="n">
        <x:f>IFERROR(J148/G148,0)</x:f>
        <x:v>0</x:v>
      </x:c>
      <x:c r="L148" s="50" t="str">
        <x:f>IF(B148="","",IF(J148=MAX(SUMIFS($J$2:$J$200,$B$2:$B$200,B148,$C$2:$C$200,C148,$D$2:$D$200,"A"),SUMIFS($J$2:$J$200,$B$2:$B$200,B148,$C$2:$C$200,C148,$D$2:$D$200,"B")),"Current Winner",""))</x:f>
      </x:c>
      <x:c r="M148" s="50"/>
      <x:c r="N148" s="50"/>
      <x:c r="O148" s="50"/>
      <x:c r="P148" s="50"/>
      <x:c r="Q148" s="50"/>
      <x:c r="R148" s="50"/>
      <x:c r="S148" s="50"/>
      <x:c r="T148" s="50"/>
      <x:c r="U148" s="50"/>
      <x:c r="V148" s="50"/>
      <x:c r="W148" s="50"/>
      <x:c r="X148" s="50"/>
      <x:c r="Y148" s="50"/>
      <x:c r="Z148" s="50"/>
    </x:row>
    <x:row r="149">
      <x:c r="A149" s="67"/>
      <x:c r="B149" s="50"/>
      <x:c r="C149" s="50"/>
      <x:c r="D149" s="50"/>
      <x:c r="E149" s="68"/>
      <x:c r="F149" s="50"/>
      <x:c r="G149" s="69"/>
      <x:c r="H149" s="69"/>
      <x:c r="I149" s="70" t="n">
        <x:f>IFERROR(H149/G149,0)</x:f>
        <x:v>0</x:v>
      </x:c>
      <x:c r="J149" s="68" t="n">
        <x:f>IFERROR(E149*H149,0)</x:f>
        <x:v>0</x:v>
      </x:c>
      <x:c r="K149" s="68" t="n">
        <x:f>IFERROR(J149/G149,0)</x:f>
        <x:v>0</x:v>
      </x:c>
      <x:c r="L149" s="50" t="str">
        <x:f>IF(B149="","",IF(J149=MAX(SUMIFS($J$2:$J$200,$B$2:$B$200,B149,$C$2:$C$200,C149,$D$2:$D$200,"A"),SUMIFS($J$2:$J$200,$B$2:$B$200,B149,$C$2:$C$200,C149,$D$2:$D$200,"B")),"Current Winner",""))</x:f>
      </x:c>
      <x:c r="M149" s="50"/>
      <x:c r="N149" s="50"/>
      <x:c r="O149" s="50"/>
      <x:c r="P149" s="50"/>
      <x:c r="Q149" s="50"/>
      <x:c r="R149" s="50"/>
      <x:c r="S149" s="50"/>
      <x:c r="T149" s="50"/>
      <x:c r="U149" s="50"/>
      <x:c r="V149" s="50"/>
      <x:c r="W149" s="50"/>
      <x:c r="X149" s="50"/>
      <x:c r="Y149" s="50"/>
      <x:c r="Z149" s="50"/>
    </x:row>
    <x:row r="150">
      <x:c r="A150" s="67"/>
      <x:c r="B150" s="50"/>
      <x:c r="C150" s="50"/>
      <x:c r="D150" s="50"/>
      <x:c r="E150" s="68"/>
      <x:c r="F150" s="50"/>
      <x:c r="G150" s="69"/>
      <x:c r="H150" s="69"/>
      <x:c r="I150" s="70" t="n">
        <x:f>IFERROR(H150/G150,0)</x:f>
        <x:v>0</x:v>
      </x:c>
      <x:c r="J150" s="68" t="n">
        <x:f>IFERROR(E150*H150,0)</x:f>
        <x:v>0</x:v>
      </x:c>
      <x:c r="K150" s="68" t="n">
        <x:f>IFERROR(J150/G150,0)</x:f>
        <x:v>0</x:v>
      </x:c>
      <x:c r="L150" s="50" t="str">
        <x:f>IF(B150="","",IF(J150=MAX(SUMIFS($J$2:$J$200,$B$2:$B$200,B150,$C$2:$C$200,C150,$D$2:$D$200,"A"),SUMIFS($J$2:$J$200,$B$2:$B$200,B150,$C$2:$C$200,C150,$D$2:$D$200,"B")),"Current Winner",""))</x:f>
      </x:c>
      <x:c r="M150" s="50"/>
      <x:c r="N150" s="50"/>
      <x:c r="O150" s="50"/>
      <x:c r="P150" s="50"/>
      <x:c r="Q150" s="50"/>
      <x:c r="R150" s="50"/>
      <x:c r="S150" s="50"/>
      <x:c r="T150" s="50"/>
      <x:c r="U150" s="50"/>
      <x:c r="V150" s="50"/>
      <x:c r="W150" s="50"/>
      <x:c r="X150" s="50"/>
      <x:c r="Y150" s="50"/>
      <x:c r="Z150" s="50"/>
    </x:row>
    <x:row r="151">
      <x:c r="A151" s="67"/>
      <x:c r="B151" s="50"/>
      <x:c r="C151" s="50"/>
      <x:c r="D151" s="50"/>
      <x:c r="E151" s="68"/>
      <x:c r="F151" s="50"/>
      <x:c r="G151" s="69"/>
      <x:c r="H151" s="69"/>
      <x:c r="I151" s="70" t="n">
        <x:f>IFERROR(H151/G151,0)</x:f>
        <x:v>0</x:v>
      </x:c>
      <x:c r="J151" s="68" t="n">
        <x:f>IFERROR(E151*H151,0)</x:f>
        <x:v>0</x:v>
      </x:c>
      <x:c r="K151" s="68" t="n">
        <x:f>IFERROR(J151/G151,0)</x:f>
        <x:v>0</x:v>
      </x:c>
      <x:c r="L151" s="50" t="str">
        <x:f>IF(B151="","",IF(J151=MAX(SUMIFS($J$2:$J$200,$B$2:$B$200,B151,$C$2:$C$200,C151,$D$2:$D$200,"A"),SUMIFS($J$2:$J$200,$B$2:$B$200,B151,$C$2:$C$200,C151,$D$2:$D$200,"B")),"Current Winner",""))</x:f>
      </x:c>
      <x:c r="M151" s="50"/>
      <x:c r="N151" s="50"/>
      <x:c r="O151" s="50"/>
      <x:c r="P151" s="50"/>
      <x:c r="Q151" s="50"/>
      <x:c r="R151" s="50"/>
      <x:c r="S151" s="50"/>
      <x:c r="T151" s="50"/>
      <x:c r="U151" s="50"/>
      <x:c r="V151" s="50"/>
      <x:c r="W151" s="50"/>
      <x:c r="X151" s="50"/>
      <x:c r="Y151" s="50"/>
      <x:c r="Z151" s="50"/>
    </x:row>
    <x:row r="152">
      <x:c r="A152" s="67"/>
      <x:c r="B152" s="50"/>
      <x:c r="C152" s="50"/>
      <x:c r="D152" s="50"/>
      <x:c r="E152" s="68"/>
      <x:c r="F152" s="50"/>
      <x:c r="G152" s="69"/>
      <x:c r="H152" s="69"/>
      <x:c r="I152" s="70" t="n">
        <x:f>IFERROR(H152/G152,0)</x:f>
        <x:v>0</x:v>
      </x:c>
      <x:c r="J152" s="68" t="n">
        <x:f>IFERROR(E152*H152,0)</x:f>
        <x:v>0</x:v>
      </x:c>
      <x:c r="K152" s="68" t="n">
        <x:f>IFERROR(J152/G152,0)</x:f>
        <x:v>0</x:v>
      </x:c>
      <x:c r="L152" s="50" t="str">
        <x:f>IF(B152="","",IF(J152=MAX(SUMIFS($J$2:$J$200,$B$2:$B$200,B152,$C$2:$C$200,C152,$D$2:$D$200,"A"),SUMIFS($J$2:$J$200,$B$2:$B$200,B152,$C$2:$C$200,C152,$D$2:$D$200,"B")),"Current Winner",""))</x:f>
      </x:c>
      <x:c r="M152" s="50"/>
      <x:c r="N152" s="50"/>
      <x:c r="O152" s="50"/>
      <x:c r="P152" s="50"/>
      <x:c r="Q152" s="50"/>
      <x:c r="R152" s="50"/>
      <x:c r="S152" s="50"/>
      <x:c r="T152" s="50"/>
      <x:c r="U152" s="50"/>
      <x:c r="V152" s="50"/>
      <x:c r="W152" s="50"/>
      <x:c r="X152" s="50"/>
      <x:c r="Y152" s="50"/>
      <x:c r="Z152" s="50"/>
    </x:row>
    <x:row r="153">
      <x:c r="A153" s="67"/>
      <x:c r="B153" s="50"/>
      <x:c r="C153" s="50"/>
      <x:c r="D153" s="50"/>
      <x:c r="E153" s="68"/>
      <x:c r="F153" s="50"/>
      <x:c r="G153" s="69"/>
      <x:c r="H153" s="69"/>
      <x:c r="I153" s="70" t="n">
        <x:f>IFERROR(H153/G153,0)</x:f>
        <x:v>0</x:v>
      </x:c>
      <x:c r="J153" s="68" t="n">
        <x:f>IFERROR(E153*H153,0)</x:f>
        <x:v>0</x:v>
      </x:c>
      <x:c r="K153" s="68" t="n">
        <x:f>IFERROR(J153/G153,0)</x:f>
        <x:v>0</x:v>
      </x:c>
      <x:c r="L153" s="50" t="str">
        <x:f>IF(B153="","",IF(J153=MAX(SUMIFS($J$2:$J$200,$B$2:$B$200,B153,$C$2:$C$200,C153,$D$2:$D$200,"A"),SUMIFS($J$2:$J$200,$B$2:$B$200,B153,$C$2:$C$200,C153,$D$2:$D$200,"B")),"Current Winner",""))</x:f>
      </x:c>
      <x:c r="M153" s="50"/>
      <x:c r="N153" s="50"/>
      <x:c r="O153" s="50"/>
      <x:c r="P153" s="50"/>
      <x:c r="Q153" s="50"/>
      <x:c r="R153" s="50"/>
      <x:c r="S153" s="50"/>
      <x:c r="T153" s="50"/>
      <x:c r="U153" s="50"/>
      <x:c r="V153" s="50"/>
      <x:c r="W153" s="50"/>
      <x:c r="X153" s="50"/>
      <x:c r="Y153" s="50"/>
      <x:c r="Z153" s="50"/>
    </x:row>
    <x:row r="154">
      <x:c r="A154" s="67"/>
      <x:c r="B154" s="50"/>
      <x:c r="C154" s="50"/>
      <x:c r="D154" s="50"/>
      <x:c r="E154" s="68"/>
      <x:c r="F154" s="50"/>
      <x:c r="G154" s="69"/>
      <x:c r="H154" s="69"/>
      <x:c r="I154" s="70" t="n">
        <x:f>IFERROR(H154/G154,0)</x:f>
        <x:v>0</x:v>
      </x:c>
      <x:c r="J154" s="68" t="n">
        <x:f>IFERROR(E154*H154,0)</x:f>
        <x:v>0</x:v>
      </x:c>
      <x:c r="K154" s="68" t="n">
        <x:f>IFERROR(J154/G154,0)</x:f>
        <x:v>0</x:v>
      </x:c>
      <x:c r="L154" s="50" t="str">
        <x:f>IF(B154="","",IF(J154=MAX(SUMIFS($J$2:$J$200,$B$2:$B$200,B154,$C$2:$C$200,C154,$D$2:$D$200,"A"),SUMIFS($J$2:$J$200,$B$2:$B$200,B154,$C$2:$C$200,C154,$D$2:$D$200,"B")),"Current Winner",""))</x:f>
      </x:c>
      <x:c r="M154" s="50"/>
      <x:c r="N154" s="50"/>
      <x:c r="O154" s="50"/>
      <x:c r="P154" s="50"/>
      <x:c r="Q154" s="50"/>
      <x:c r="R154" s="50"/>
      <x:c r="S154" s="50"/>
      <x:c r="T154" s="50"/>
      <x:c r="U154" s="50"/>
      <x:c r="V154" s="50"/>
      <x:c r="W154" s="50"/>
      <x:c r="X154" s="50"/>
      <x:c r="Y154" s="50"/>
      <x:c r="Z154" s="50"/>
    </x:row>
    <x:row r="155">
      <x:c r="A155" s="67"/>
      <x:c r="B155" s="50"/>
      <x:c r="C155" s="50"/>
      <x:c r="D155" s="50"/>
      <x:c r="E155" s="68"/>
      <x:c r="F155" s="50"/>
      <x:c r="G155" s="69"/>
      <x:c r="H155" s="69"/>
      <x:c r="I155" s="70" t="n">
        <x:f>IFERROR(H155/G155,0)</x:f>
        <x:v>0</x:v>
      </x:c>
      <x:c r="J155" s="68" t="n">
        <x:f>IFERROR(E155*H155,0)</x:f>
        <x:v>0</x:v>
      </x:c>
      <x:c r="K155" s="68" t="n">
        <x:f>IFERROR(J155/G155,0)</x:f>
        <x:v>0</x:v>
      </x:c>
      <x:c r="L155" s="50" t="str">
        <x:f>IF(B155="","",IF(J155=MAX(SUMIFS($J$2:$J$200,$B$2:$B$200,B155,$C$2:$C$200,C155,$D$2:$D$200,"A"),SUMIFS($J$2:$J$200,$B$2:$B$200,B155,$C$2:$C$200,C155,$D$2:$D$200,"B")),"Current Winner",""))</x:f>
      </x:c>
      <x:c r="M155" s="50"/>
      <x:c r="N155" s="50"/>
      <x:c r="O155" s="50"/>
      <x:c r="P155" s="50"/>
      <x:c r="Q155" s="50"/>
      <x:c r="R155" s="50"/>
      <x:c r="S155" s="50"/>
      <x:c r="T155" s="50"/>
      <x:c r="U155" s="50"/>
      <x:c r="V155" s="50"/>
      <x:c r="W155" s="50"/>
      <x:c r="X155" s="50"/>
      <x:c r="Y155" s="50"/>
      <x:c r="Z155" s="50"/>
    </x:row>
    <x:row r="156">
      <x:c r="A156" s="67"/>
      <x:c r="B156" s="50"/>
      <x:c r="C156" s="50"/>
      <x:c r="D156" s="50"/>
      <x:c r="E156" s="68"/>
      <x:c r="F156" s="50"/>
      <x:c r="G156" s="69"/>
      <x:c r="H156" s="69"/>
      <x:c r="I156" s="70" t="n">
        <x:f>IFERROR(H156/G156,0)</x:f>
        <x:v>0</x:v>
      </x:c>
      <x:c r="J156" s="68" t="n">
        <x:f>IFERROR(E156*H156,0)</x:f>
        <x:v>0</x:v>
      </x:c>
      <x:c r="K156" s="68" t="n">
        <x:f>IFERROR(J156/G156,0)</x:f>
        <x:v>0</x:v>
      </x:c>
      <x:c r="L156" s="50" t="str">
        <x:f>IF(B156="","",IF(J156=MAX(SUMIFS($J$2:$J$200,$B$2:$B$200,B156,$C$2:$C$200,C156,$D$2:$D$200,"A"),SUMIFS($J$2:$J$200,$B$2:$B$200,B156,$C$2:$C$200,C156,$D$2:$D$200,"B")),"Current Winner",""))</x:f>
      </x:c>
      <x:c r="M156" s="50"/>
      <x:c r="N156" s="50"/>
      <x:c r="O156" s="50"/>
      <x:c r="P156" s="50"/>
      <x:c r="Q156" s="50"/>
      <x:c r="R156" s="50"/>
      <x:c r="S156" s="50"/>
      <x:c r="T156" s="50"/>
      <x:c r="U156" s="50"/>
      <x:c r="V156" s="50"/>
      <x:c r="W156" s="50"/>
      <x:c r="X156" s="50"/>
      <x:c r="Y156" s="50"/>
      <x:c r="Z156" s="50"/>
    </x:row>
    <x:row r="157">
      <x:c r="A157" s="67"/>
      <x:c r="B157" s="50"/>
      <x:c r="C157" s="50"/>
      <x:c r="D157" s="50"/>
      <x:c r="E157" s="68"/>
      <x:c r="F157" s="50"/>
      <x:c r="G157" s="69"/>
      <x:c r="H157" s="69"/>
      <x:c r="I157" s="70" t="n">
        <x:f>IFERROR(H157/G157,0)</x:f>
        <x:v>0</x:v>
      </x:c>
      <x:c r="J157" s="68" t="n">
        <x:f>IFERROR(E157*H157,0)</x:f>
        <x:v>0</x:v>
      </x:c>
      <x:c r="K157" s="68" t="n">
        <x:f>IFERROR(J157/G157,0)</x:f>
        <x:v>0</x:v>
      </x:c>
      <x:c r="L157" s="50" t="str">
        <x:f>IF(B157="","",IF(J157=MAX(SUMIFS($J$2:$J$200,$B$2:$B$200,B157,$C$2:$C$200,C157,$D$2:$D$200,"A"),SUMIFS($J$2:$J$200,$B$2:$B$200,B157,$C$2:$C$200,C157,$D$2:$D$200,"B")),"Current Winner",""))</x:f>
      </x:c>
      <x:c r="M157" s="50"/>
      <x:c r="N157" s="50"/>
      <x:c r="O157" s="50"/>
      <x:c r="P157" s="50"/>
      <x:c r="Q157" s="50"/>
      <x:c r="R157" s="50"/>
      <x:c r="S157" s="50"/>
      <x:c r="T157" s="50"/>
      <x:c r="U157" s="50"/>
      <x:c r="V157" s="50"/>
      <x:c r="W157" s="50"/>
      <x:c r="X157" s="50"/>
      <x:c r="Y157" s="50"/>
      <x:c r="Z157" s="50"/>
    </x:row>
    <x:row r="158">
      <x:c r="A158" s="67"/>
      <x:c r="B158" s="50"/>
      <x:c r="C158" s="50"/>
      <x:c r="D158" s="50"/>
      <x:c r="E158" s="68"/>
      <x:c r="F158" s="50"/>
      <x:c r="G158" s="69"/>
      <x:c r="H158" s="69"/>
      <x:c r="I158" s="70" t="n">
        <x:f>IFERROR(H158/G158,0)</x:f>
        <x:v>0</x:v>
      </x:c>
      <x:c r="J158" s="68" t="n">
        <x:f>IFERROR(E158*H158,0)</x:f>
        <x:v>0</x:v>
      </x:c>
      <x:c r="K158" s="68" t="n">
        <x:f>IFERROR(J158/G158,0)</x:f>
        <x:v>0</x:v>
      </x:c>
      <x:c r="L158" s="50" t="str">
        <x:f>IF(B158="","",IF(J158=MAX(SUMIFS($J$2:$J$200,$B$2:$B$200,B158,$C$2:$C$200,C158,$D$2:$D$200,"A"),SUMIFS($J$2:$J$200,$B$2:$B$200,B158,$C$2:$C$200,C158,$D$2:$D$200,"B")),"Current Winner",""))</x:f>
      </x:c>
      <x:c r="M158" s="50"/>
      <x:c r="N158" s="50"/>
      <x:c r="O158" s="50"/>
      <x:c r="P158" s="50"/>
      <x:c r="Q158" s="50"/>
      <x:c r="R158" s="50"/>
      <x:c r="S158" s="50"/>
      <x:c r="T158" s="50"/>
      <x:c r="U158" s="50"/>
      <x:c r="V158" s="50"/>
      <x:c r="W158" s="50"/>
      <x:c r="X158" s="50"/>
      <x:c r="Y158" s="50"/>
      <x:c r="Z158" s="50"/>
    </x:row>
    <x:row r="159">
      <x:c r="A159" s="67"/>
      <x:c r="B159" s="50"/>
      <x:c r="C159" s="50"/>
      <x:c r="D159" s="50"/>
      <x:c r="E159" s="68"/>
      <x:c r="F159" s="50"/>
      <x:c r="G159" s="69"/>
      <x:c r="H159" s="69"/>
      <x:c r="I159" s="70" t="n">
        <x:f>IFERROR(H159/G159,0)</x:f>
        <x:v>0</x:v>
      </x:c>
      <x:c r="J159" s="68" t="n">
        <x:f>IFERROR(E159*H159,0)</x:f>
        <x:v>0</x:v>
      </x:c>
      <x:c r="K159" s="68" t="n">
        <x:f>IFERROR(J159/G159,0)</x:f>
        <x:v>0</x:v>
      </x:c>
      <x:c r="L159" s="50" t="str">
        <x:f>IF(B159="","",IF(J159=MAX(SUMIFS($J$2:$J$200,$B$2:$B$200,B159,$C$2:$C$200,C159,$D$2:$D$200,"A"),SUMIFS($J$2:$J$200,$B$2:$B$200,B159,$C$2:$C$200,C159,$D$2:$D$200,"B")),"Current Winner",""))</x:f>
      </x:c>
      <x:c r="M159" s="50"/>
      <x:c r="N159" s="50"/>
      <x:c r="O159" s="50"/>
      <x:c r="P159" s="50"/>
      <x:c r="Q159" s="50"/>
      <x:c r="R159" s="50"/>
      <x:c r="S159" s="50"/>
      <x:c r="T159" s="50"/>
      <x:c r="U159" s="50"/>
      <x:c r="V159" s="50"/>
      <x:c r="W159" s="50"/>
      <x:c r="X159" s="50"/>
      <x:c r="Y159" s="50"/>
      <x:c r="Z159" s="50"/>
    </x:row>
    <x:row r="160">
      <x:c r="A160" s="67"/>
      <x:c r="B160" s="50"/>
      <x:c r="C160" s="50"/>
      <x:c r="D160" s="50"/>
      <x:c r="E160" s="68"/>
      <x:c r="F160" s="50"/>
      <x:c r="G160" s="69"/>
      <x:c r="H160" s="69"/>
      <x:c r="I160" s="70" t="n">
        <x:f>IFERROR(H160/G160,0)</x:f>
        <x:v>0</x:v>
      </x:c>
      <x:c r="J160" s="68" t="n">
        <x:f>IFERROR(E160*H160,0)</x:f>
        <x:v>0</x:v>
      </x:c>
      <x:c r="K160" s="68" t="n">
        <x:f>IFERROR(J160/G160,0)</x:f>
        <x:v>0</x:v>
      </x:c>
      <x:c r="L160" s="50" t="str">
        <x:f>IF(B160="","",IF(J160=MAX(SUMIFS($J$2:$J$200,$B$2:$B$200,B160,$C$2:$C$200,C160,$D$2:$D$200,"A"),SUMIFS($J$2:$J$200,$B$2:$B$200,B160,$C$2:$C$200,C160,$D$2:$D$200,"B")),"Current Winner",""))</x:f>
      </x:c>
      <x:c r="M160" s="50"/>
      <x:c r="N160" s="50"/>
      <x:c r="O160" s="50"/>
      <x:c r="P160" s="50"/>
      <x:c r="Q160" s="50"/>
      <x:c r="R160" s="50"/>
      <x:c r="S160" s="50"/>
      <x:c r="T160" s="50"/>
      <x:c r="U160" s="50"/>
      <x:c r="V160" s="50"/>
      <x:c r="W160" s="50"/>
      <x:c r="X160" s="50"/>
      <x:c r="Y160" s="50"/>
      <x:c r="Z160" s="50"/>
    </x:row>
    <x:row r="161">
      <x:c r="A161" s="67"/>
      <x:c r="B161" s="50"/>
      <x:c r="C161" s="50"/>
      <x:c r="D161" s="50"/>
      <x:c r="E161" s="68"/>
      <x:c r="F161" s="50"/>
      <x:c r="G161" s="69"/>
      <x:c r="H161" s="69"/>
      <x:c r="I161" s="70" t="n">
        <x:f>IFERROR(H161/G161,0)</x:f>
        <x:v>0</x:v>
      </x:c>
      <x:c r="J161" s="68" t="n">
        <x:f>IFERROR(E161*H161,0)</x:f>
        <x:v>0</x:v>
      </x:c>
      <x:c r="K161" s="68" t="n">
        <x:f>IFERROR(J161/G161,0)</x:f>
        <x:v>0</x:v>
      </x:c>
      <x:c r="L161" s="50" t="str">
        <x:f>IF(B161="","",IF(J161=MAX(SUMIFS($J$2:$J$200,$B$2:$B$200,B161,$C$2:$C$200,C161,$D$2:$D$200,"A"),SUMIFS($J$2:$J$200,$B$2:$B$200,B161,$C$2:$C$200,C161,$D$2:$D$200,"B")),"Current Winner",""))</x:f>
      </x:c>
      <x:c r="M161" s="50"/>
      <x:c r="N161" s="50"/>
      <x:c r="O161" s="50"/>
      <x:c r="P161" s="50"/>
      <x:c r="Q161" s="50"/>
      <x:c r="R161" s="50"/>
      <x:c r="S161" s="50"/>
      <x:c r="T161" s="50"/>
      <x:c r="U161" s="50"/>
      <x:c r="V161" s="50"/>
      <x:c r="W161" s="50"/>
      <x:c r="X161" s="50"/>
      <x:c r="Y161" s="50"/>
      <x:c r="Z161" s="50"/>
    </x:row>
    <x:row r="162">
      <x:c r="A162" s="67"/>
      <x:c r="B162" s="50"/>
      <x:c r="C162" s="50"/>
      <x:c r="D162" s="50"/>
      <x:c r="E162" s="68"/>
      <x:c r="F162" s="50"/>
      <x:c r="G162" s="69"/>
      <x:c r="H162" s="69"/>
      <x:c r="I162" s="70" t="n">
        <x:f>IFERROR(H162/G162,0)</x:f>
        <x:v>0</x:v>
      </x:c>
      <x:c r="J162" s="68" t="n">
        <x:f>IFERROR(E162*H162,0)</x:f>
        <x:v>0</x:v>
      </x:c>
      <x:c r="K162" s="68" t="n">
        <x:f>IFERROR(J162/G162,0)</x:f>
        <x:v>0</x:v>
      </x:c>
      <x:c r="L162" s="50" t="str">
        <x:f>IF(B162="","",IF(J162=MAX(SUMIFS($J$2:$J$200,$B$2:$B$200,B162,$C$2:$C$200,C162,$D$2:$D$200,"A"),SUMIFS($J$2:$J$200,$B$2:$B$200,B162,$C$2:$C$200,C162,$D$2:$D$200,"B")),"Current Winner",""))</x:f>
      </x:c>
      <x:c r="M162" s="50"/>
      <x:c r="N162" s="50"/>
      <x:c r="O162" s="50"/>
      <x:c r="P162" s="50"/>
      <x:c r="Q162" s="50"/>
      <x:c r="R162" s="50"/>
      <x:c r="S162" s="50"/>
      <x:c r="T162" s="50"/>
      <x:c r="U162" s="50"/>
      <x:c r="V162" s="50"/>
      <x:c r="W162" s="50"/>
      <x:c r="X162" s="50"/>
      <x:c r="Y162" s="50"/>
      <x:c r="Z162" s="50"/>
    </x:row>
    <x:row r="163">
      <x:c r="A163" s="67"/>
      <x:c r="B163" s="50"/>
      <x:c r="C163" s="50"/>
      <x:c r="D163" s="50"/>
      <x:c r="E163" s="68"/>
      <x:c r="F163" s="50"/>
      <x:c r="G163" s="69"/>
      <x:c r="H163" s="69"/>
      <x:c r="I163" s="70" t="n">
        <x:f>IFERROR(H163/G163,0)</x:f>
        <x:v>0</x:v>
      </x:c>
      <x:c r="J163" s="68" t="n">
        <x:f>IFERROR(E163*H163,0)</x:f>
        <x:v>0</x:v>
      </x:c>
      <x:c r="K163" s="68" t="n">
        <x:f>IFERROR(J163/G163,0)</x:f>
        <x:v>0</x:v>
      </x:c>
      <x:c r="L163" s="50" t="str">
        <x:f>IF(B163="","",IF(J163=MAX(SUMIFS($J$2:$J$200,$B$2:$B$200,B163,$C$2:$C$200,C163,$D$2:$D$200,"A"),SUMIFS($J$2:$J$200,$B$2:$B$200,B163,$C$2:$C$200,C163,$D$2:$D$200,"B")),"Current Winner",""))</x:f>
      </x:c>
      <x:c r="M163" s="50"/>
      <x:c r="N163" s="50"/>
      <x:c r="O163" s="50"/>
      <x:c r="P163" s="50"/>
      <x:c r="Q163" s="50"/>
      <x:c r="R163" s="50"/>
      <x:c r="S163" s="50"/>
      <x:c r="T163" s="50"/>
      <x:c r="U163" s="50"/>
      <x:c r="V163" s="50"/>
      <x:c r="W163" s="50"/>
      <x:c r="X163" s="50"/>
      <x:c r="Y163" s="50"/>
      <x:c r="Z163" s="50"/>
    </x:row>
    <x:row r="164">
      <x:c r="A164" s="67"/>
      <x:c r="B164" s="50"/>
      <x:c r="C164" s="50"/>
      <x:c r="D164" s="50"/>
      <x:c r="E164" s="68"/>
      <x:c r="F164" s="50"/>
      <x:c r="G164" s="69"/>
      <x:c r="H164" s="69"/>
      <x:c r="I164" s="70" t="n">
        <x:f>IFERROR(H164/G164,0)</x:f>
        <x:v>0</x:v>
      </x:c>
      <x:c r="J164" s="68" t="n">
        <x:f>IFERROR(E164*H164,0)</x:f>
        <x:v>0</x:v>
      </x:c>
      <x:c r="K164" s="68" t="n">
        <x:f>IFERROR(J164/G164,0)</x:f>
        <x:v>0</x:v>
      </x:c>
      <x:c r="L164" s="50" t="str">
        <x:f>IF(B164="","",IF(J164=MAX(SUMIFS($J$2:$J$200,$B$2:$B$200,B164,$C$2:$C$200,C164,$D$2:$D$200,"A"),SUMIFS($J$2:$J$200,$B$2:$B$200,B164,$C$2:$C$200,C164,$D$2:$D$200,"B")),"Current Winner",""))</x:f>
      </x:c>
      <x:c r="M164" s="50"/>
      <x:c r="N164" s="50"/>
      <x:c r="O164" s="50"/>
      <x:c r="P164" s="50"/>
      <x:c r="Q164" s="50"/>
      <x:c r="R164" s="50"/>
      <x:c r="S164" s="50"/>
      <x:c r="T164" s="50"/>
      <x:c r="U164" s="50"/>
      <x:c r="V164" s="50"/>
      <x:c r="W164" s="50"/>
      <x:c r="X164" s="50"/>
      <x:c r="Y164" s="50"/>
      <x:c r="Z164" s="50"/>
    </x:row>
    <x:row r="165">
      <x:c r="A165" s="67"/>
      <x:c r="B165" s="50"/>
      <x:c r="C165" s="50"/>
      <x:c r="D165" s="50"/>
      <x:c r="E165" s="68"/>
      <x:c r="F165" s="50"/>
      <x:c r="G165" s="69"/>
      <x:c r="H165" s="69"/>
      <x:c r="I165" s="70" t="n">
        <x:f>IFERROR(H165/G165,0)</x:f>
        <x:v>0</x:v>
      </x:c>
      <x:c r="J165" s="68" t="n">
        <x:f>IFERROR(E165*H165,0)</x:f>
        <x:v>0</x:v>
      </x:c>
      <x:c r="K165" s="68" t="n">
        <x:f>IFERROR(J165/G165,0)</x:f>
        <x:v>0</x:v>
      </x:c>
      <x:c r="L165" s="50" t="str">
        <x:f>IF(B165="","",IF(J165=MAX(SUMIFS($J$2:$J$200,$B$2:$B$200,B165,$C$2:$C$200,C165,$D$2:$D$200,"A"),SUMIFS($J$2:$J$200,$B$2:$B$200,B165,$C$2:$C$200,C165,$D$2:$D$200,"B")),"Current Winner",""))</x:f>
      </x:c>
      <x:c r="M165" s="50"/>
      <x:c r="N165" s="50"/>
      <x:c r="O165" s="50"/>
      <x:c r="P165" s="50"/>
      <x:c r="Q165" s="50"/>
      <x:c r="R165" s="50"/>
      <x:c r="S165" s="50"/>
      <x:c r="T165" s="50"/>
      <x:c r="U165" s="50"/>
      <x:c r="V165" s="50"/>
      <x:c r="W165" s="50"/>
      <x:c r="X165" s="50"/>
      <x:c r="Y165" s="50"/>
      <x:c r="Z165" s="50"/>
    </x:row>
    <x:row r="166">
      <x:c r="A166" s="67"/>
      <x:c r="B166" s="50"/>
      <x:c r="C166" s="50"/>
      <x:c r="D166" s="50"/>
      <x:c r="E166" s="68"/>
      <x:c r="F166" s="50"/>
      <x:c r="G166" s="69"/>
      <x:c r="H166" s="69"/>
      <x:c r="I166" s="70" t="n">
        <x:f>IFERROR(H166/G166,0)</x:f>
        <x:v>0</x:v>
      </x:c>
      <x:c r="J166" s="68" t="n">
        <x:f>IFERROR(E166*H166,0)</x:f>
        <x:v>0</x:v>
      </x:c>
      <x:c r="K166" s="68" t="n">
        <x:f>IFERROR(J166/G166,0)</x:f>
        <x:v>0</x:v>
      </x:c>
      <x:c r="L166" s="50" t="str">
        <x:f>IF(B166="","",IF(J166=MAX(SUMIFS($J$2:$J$200,$B$2:$B$200,B166,$C$2:$C$200,C166,$D$2:$D$200,"A"),SUMIFS($J$2:$J$200,$B$2:$B$200,B166,$C$2:$C$200,C166,$D$2:$D$200,"B")),"Current Winner",""))</x:f>
      </x:c>
      <x:c r="M166" s="50"/>
      <x:c r="N166" s="50"/>
      <x:c r="O166" s="50"/>
      <x:c r="P166" s="50"/>
      <x:c r="Q166" s="50"/>
      <x:c r="R166" s="50"/>
      <x:c r="S166" s="50"/>
      <x:c r="T166" s="50"/>
      <x:c r="U166" s="50"/>
      <x:c r="V166" s="50"/>
      <x:c r="W166" s="50"/>
      <x:c r="X166" s="50"/>
      <x:c r="Y166" s="50"/>
      <x:c r="Z166" s="50"/>
    </x:row>
    <x:row r="167">
      <x:c r="A167" s="67"/>
      <x:c r="B167" s="50"/>
      <x:c r="C167" s="50"/>
      <x:c r="D167" s="50"/>
      <x:c r="E167" s="68"/>
      <x:c r="F167" s="50"/>
      <x:c r="G167" s="69"/>
      <x:c r="H167" s="69"/>
      <x:c r="I167" s="70" t="n">
        <x:f>IFERROR(H167/G167,0)</x:f>
        <x:v>0</x:v>
      </x:c>
      <x:c r="J167" s="68" t="n">
        <x:f>IFERROR(E167*H167,0)</x:f>
        <x:v>0</x:v>
      </x:c>
      <x:c r="K167" s="68" t="n">
        <x:f>IFERROR(J167/G167,0)</x:f>
        <x:v>0</x:v>
      </x:c>
      <x:c r="L167" s="50" t="str">
        <x:f>IF(B167="","",IF(J167=MAX(SUMIFS($J$2:$J$200,$B$2:$B$200,B167,$C$2:$C$200,C167,$D$2:$D$200,"A"),SUMIFS($J$2:$J$200,$B$2:$B$200,B167,$C$2:$C$200,C167,$D$2:$D$200,"B")),"Current Winner",""))</x:f>
      </x:c>
      <x:c r="M167" s="50"/>
      <x:c r="N167" s="50"/>
      <x:c r="O167" s="50"/>
      <x:c r="P167" s="50"/>
      <x:c r="Q167" s="50"/>
      <x:c r="R167" s="50"/>
      <x:c r="S167" s="50"/>
      <x:c r="T167" s="50"/>
      <x:c r="U167" s="50"/>
      <x:c r="V167" s="50"/>
      <x:c r="W167" s="50"/>
      <x:c r="X167" s="50"/>
      <x:c r="Y167" s="50"/>
      <x:c r="Z167" s="50"/>
    </x:row>
    <x:row r="168">
      <x:c r="A168" s="67"/>
      <x:c r="B168" s="50"/>
      <x:c r="C168" s="50"/>
      <x:c r="D168" s="50"/>
      <x:c r="E168" s="68"/>
      <x:c r="F168" s="50"/>
      <x:c r="G168" s="69"/>
      <x:c r="H168" s="69"/>
      <x:c r="I168" s="70" t="n">
        <x:f>IFERROR(H168/G168,0)</x:f>
        <x:v>0</x:v>
      </x:c>
      <x:c r="J168" s="68" t="n">
        <x:f>IFERROR(E168*H168,0)</x:f>
        <x:v>0</x:v>
      </x:c>
      <x:c r="K168" s="68" t="n">
        <x:f>IFERROR(J168/G168,0)</x:f>
        <x:v>0</x:v>
      </x:c>
      <x:c r="L168" s="50" t="str">
        <x:f>IF(B168="","",IF(J168=MAX(SUMIFS($J$2:$J$200,$B$2:$B$200,B168,$C$2:$C$200,C168,$D$2:$D$200,"A"),SUMIFS($J$2:$J$200,$B$2:$B$200,B168,$C$2:$C$200,C168,$D$2:$D$200,"B")),"Current Winner",""))</x:f>
      </x:c>
      <x:c r="M168" s="50"/>
      <x:c r="N168" s="50"/>
      <x:c r="O168" s="50"/>
      <x:c r="P168" s="50"/>
      <x:c r="Q168" s="50"/>
      <x:c r="R168" s="50"/>
      <x:c r="S168" s="50"/>
      <x:c r="T168" s="50"/>
      <x:c r="U168" s="50"/>
      <x:c r="V168" s="50"/>
      <x:c r="W168" s="50"/>
      <x:c r="X168" s="50"/>
      <x:c r="Y168" s="50"/>
      <x:c r="Z168" s="50"/>
    </x:row>
    <x:row r="169">
      <x:c r="A169" s="67"/>
      <x:c r="B169" s="50"/>
      <x:c r="C169" s="50"/>
      <x:c r="D169" s="50"/>
      <x:c r="E169" s="68"/>
      <x:c r="F169" s="50"/>
      <x:c r="G169" s="69"/>
      <x:c r="H169" s="69"/>
      <x:c r="I169" s="70" t="n">
        <x:f>IFERROR(H169/G169,0)</x:f>
        <x:v>0</x:v>
      </x:c>
      <x:c r="J169" s="68" t="n">
        <x:f>IFERROR(E169*H169,0)</x:f>
        <x:v>0</x:v>
      </x:c>
      <x:c r="K169" s="68" t="n">
        <x:f>IFERROR(J169/G169,0)</x:f>
        <x:v>0</x:v>
      </x:c>
      <x:c r="L169" s="50" t="str">
        <x:f>IF(B169="","",IF(J169=MAX(SUMIFS($J$2:$J$200,$B$2:$B$200,B169,$C$2:$C$200,C169,$D$2:$D$200,"A"),SUMIFS($J$2:$J$200,$B$2:$B$200,B169,$C$2:$C$200,C169,$D$2:$D$200,"B")),"Current Winner",""))</x:f>
      </x:c>
      <x:c r="M169" s="50"/>
      <x:c r="N169" s="50"/>
      <x:c r="O169" s="50"/>
      <x:c r="P169" s="50"/>
      <x:c r="Q169" s="50"/>
      <x:c r="R169" s="50"/>
      <x:c r="S169" s="50"/>
      <x:c r="T169" s="50"/>
      <x:c r="U169" s="50"/>
      <x:c r="V169" s="50"/>
      <x:c r="W169" s="50"/>
      <x:c r="X169" s="50"/>
      <x:c r="Y169" s="50"/>
      <x:c r="Z169" s="50"/>
    </x:row>
    <x:row r="170">
      <x:c r="A170" s="67"/>
      <x:c r="B170" s="50"/>
      <x:c r="C170" s="50"/>
      <x:c r="D170" s="50"/>
      <x:c r="E170" s="68"/>
      <x:c r="F170" s="50"/>
      <x:c r="G170" s="69"/>
      <x:c r="H170" s="69"/>
      <x:c r="I170" s="70" t="n">
        <x:f>IFERROR(H170/G170,0)</x:f>
        <x:v>0</x:v>
      </x:c>
      <x:c r="J170" s="68" t="n">
        <x:f>IFERROR(E170*H170,0)</x:f>
        <x:v>0</x:v>
      </x:c>
      <x:c r="K170" s="68" t="n">
        <x:f>IFERROR(J170/G170,0)</x:f>
        <x:v>0</x:v>
      </x:c>
      <x:c r="L170" s="50" t="str">
        <x:f>IF(B170="","",IF(J170=MAX(SUMIFS($J$2:$J$200,$B$2:$B$200,B170,$C$2:$C$200,C170,$D$2:$D$200,"A"),SUMIFS($J$2:$J$200,$B$2:$B$200,B170,$C$2:$C$200,C170,$D$2:$D$200,"B")),"Current Winner",""))</x:f>
      </x:c>
      <x:c r="M170" s="50"/>
      <x:c r="N170" s="50"/>
      <x:c r="O170" s="50"/>
      <x:c r="P170" s="50"/>
      <x:c r="Q170" s="50"/>
      <x:c r="R170" s="50"/>
      <x:c r="S170" s="50"/>
      <x:c r="T170" s="50"/>
      <x:c r="U170" s="50"/>
      <x:c r="V170" s="50"/>
      <x:c r="W170" s="50"/>
      <x:c r="X170" s="50"/>
      <x:c r="Y170" s="50"/>
      <x:c r="Z170" s="50"/>
    </x:row>
    <x:row r="171">
      <x:c r="A171" s="67"/>
      <x:c r="B171" s="50"/>
      <x:c r="C171" s="50"/>
      <x:c r="D171" s="50"/>
      <x:c r="E171" s="68"/>
      <x:c r="F171" s="50"/>
      <x:c r="G171" s="69"/>
      <x:c r="H171" s="69"/>
      <x:c r="I171" s="70" t="n">
        <x:f>IFERROR(H171/G171,0)</x:f>
        <x:v>0</x:v>
      </x:c>
      <x:c r="J171" s="68" t="n">
        <x:f>IFERROR(E171*H171,0)</x:f>
        <x:v>0</x:v>
      </x:c>
      <x:c r="K171" s="68" t="n">
        <x:f>IFERROR(J171/G171,0)</x:f>
        <x:v>0</x:v>
      </x:c>
      <x:c r="L171" s="50" t="str">
        <x:f>IF(B171="","",IF(J171=MAX(SUMIFS($J$2:$J$200,$B$2:$B$200,B171,$C$2:$C$200,C171,$D$2:$D$200,"A"),SUMIFS($J$2:$J$200,$B$2:$B$200,B171,$C$2:$C$200,C171,$D$2:$D$200,"B")),"Current Winner",""))</x:f>
      </x:c>
      <x:c r="M171" s="50"/>
      <x:c r="N171" s="50"/>
      <x:c r="O171" s="50"/>
      <x:c r="P171" s="50"/>
      <x:c r="Q171" s="50"/>
      <x:c r="R171" s="50"/>
      <x:c r="S171" s="50"/>
      <x:c r="T171" s="50"/>
      <x:c r="U171" s="50"/>
      <x:c r="V171" s="50"/>
      <x:c r="W171" s="50"/>
      <x:c r="X171" s="50"/>
      <x:c r="Y171" s="50"/>
      <x:c r="Z171" s="50"/>
    </x:row>
    <x:row r="172">
      <x:c r="A172" s="67"/>
      <x:c r="B172" s="50"/>
      <x:c r="C172" s="50"/>
      <x:c r="D172" s="50"/>
      <x:c r="E172" s="68"/>
      <x:c r="F172" s="50"/>
      <x:c r="G172" s="69"/>
      <x:c r="H172" s="69"/>
      <x:c r="I172" s="70" t="n">
        <x:f>IFERROR(H172/G172,0)</x:f>
        <x:v>0</x:v>
      </x:c>
      <x:c r="J172" s="68" t="n">
        <x:f>IFERROR(E172*H172,0)</x:f>
        <x:v>0</x:v>
      </x:c>
      <x:c r="K172" s="68" t="n">
        <x:f>IFERROR(J172/G172,0)</x:f>
        <x:v>0</x:v>
      </x:c>
      <x:c r="L172" s="50" t="str">
        <x:f>IF(B172="","",IF(J172=MAX(SUMIFS($J$2:$J$200,$B$2:$B$200,B172,$C$2:$C$200,C172,$D$2:$D$200,"A"),SUMIFS($J$2:$J$200,$B$2:$B$200,B172,$C$2:$C$200,C172,$D$2:$D$200,"B")),"Current Winner",""))</x:f>
      </x:c>
      <x:c r="M172" s="50"/>
      <x:c r="N172" s="50"/>
      <x:c r="O172" s="50"/>
      <x:c r="P172" s="50"/>
      <x:c r="Q172" s="50"/>
      <x:c r="R172" s="50"/>
      <x:c r="S172" s="50"/>
      <x:c r="T172" s="50"/>
      <x:c r="U172" s="50"/>
      <x:c r="V172" s="50"/>
      <x:c r="W172" s="50"/>
      <x:c r="X172" s="50"/>
      <x:c r="Y172" s="50"/>
      <x:c r="Z172" s="50"/>
    </x:row>
    <x:row r="173">
      <x:c r="A173" s="67"/>
      <x:c r="B173" s="50"/>
      <x:c r="C173" s="50"/>
      <x:c r="D173" s="50"/>
      <x:c r="E173" s="68"/>
      <x:c r="F173" s="50"/>
      <x:c r="G173" s="69"/>
      <x:c r="H173" s="69"/>
      <x:c r="I173" s="70" t="n">
        <x:f>IFERROR(H173/G173,0)</x:f>
        <x:v>0</x:v>
      </x:c>
      <x:c r="J173" s="68" t="n">
        <x:f>IFERROR(E173*H173,0)</x:f>
        <x:v>0</x:v>
      </x:c>
      <x:c r="K173" s="68" t="n">
        <x:f>IFERROR(J173/G173,0)</x:f>
        <x:v>0</x:v>
      </x:c>
      <x:c r="L173" s="50" t="str">
        <x:f>IF(B173="","",IF(J173=MAX(SUMIFS($J$2:$J$200,$B$2:$B$200,B173,$C$2:$C$200,C173,$D$2:$D$200,"A"),SUMIFS($J$2:$J$200,$B$2:$B$200,B173,$C$2:$C$200,C173,$D$2:$D$200,"B")),"Current Winner",""))</x:f>
      </x:c>
      <x:c r="M173" s="50"/>
      <x:c r="N173" s="50"/>
      <x:c r="O173" s="50"/>
      <x:c r="P173" s="50"/>
      <x:c r="Q173" s="50"/>
      <x:c r="R173" s="50"/>
      <x:c r="S173" s="50"/>
      <x:c r="T173" s="50"/>
      <x:c r="U173" s="50"/>
      <x:c r="V173" s="50"/>
      <x:c r="W173" s="50"/>
      <x:c r="X173" s="50"/>
      <x:c r="Y173" s="50"/>
      <x:c r="Z173" s="50"/>
    </x:row>
    <x:row r="174">
      <x:c r="A174" s="67"/>
      <x:c r="B174" s="50"/>
      <x:c r="C174" s="50"/>
      <x:c r="D174" s="50"/>
      <x:c r="E174" s="68"/>
      <x:c r="F174" s="50"/>
      <x:c r="G174" s="69"/>
      <x:c r="H174" s="69"/>
      <x:c r="I174" s="70" t="n">
        <x:f>IFERROR(H174/G174,0)</x:f>
        <x:v>0</x:v>
      </x:c>
      <x:c r="J174" s="68" t="n">
        <x:f>IFERROR(E174*H174,0)</x:f>
        <x:v>0</x:v>
      </x:c>
      <x:c r="K174" s="68" t="n">
        <x:f>IFERROR(J174/G174,0)</x:f>
        <x:v>0</x:v>
      </x:c>
      <x:c r="L174" s="50" t="str">
        <x:f>IF(B174="","",IF(J174=MAX(SUMIFS($J$2:$J$200,$B$2:$B$200,B174,$C$2:$C$200,C174,$D$2:$D$200,"A"),SUMIFS($J$2:$J$200,$B$2:$B$200,B174,$C$2:$C$200,C174,$D$2:$D$200,"B")),"Current Winner",""))</x:f>
      </x:c>
      <x:c r="M174" s="50"/>
      <x:c r="N174" s="50"/>
      <x:c r="O174" s="50"/>
      <x:c r="P174" s="50"/>
      <x:c r="Q174" s="50"/>
      <x:c r="R174" s="50"/>
      <x:c r="S174" s="50"/>
      <x:c r="T174" s="50"/>
      <x:c r="U174" s="50"/>
      <x:c r="V174" s="50"/>
      <x:c r="W174" s="50"/>
      <x:c r="X174" s="50"/>
      <x:c r="Y174" s="50"/>
      <x:c r="Z174" s="50"/>
    </x:row>
    <x:row r="175">
      <x:c r="A175" s="67"/>
      <x:c r="B175" s="50"/>
      <x:c r="C175" s="50"/>
      <x:c r="D175" s="50"/>
      <x:c r="E175" s="68"/>
      <x:c r="F175" s="50"/>
      <x:c r="G175" s="69"/>
      <x:c r="H175" s="69"/>
      <x:c r="I175" s="70" t="n">
        <x:f>IFERROR(H175/G175,0)</x:f>
        <x:v>0</x:v>
      </x:c>
      <x:c r="J175" s="68" t="n">
        <x:f>IFERROR(E175*H175,0)</x:f>
        <x:v>0</x:v>
      </x:c>
      <x:c r="K175" s="68" t="n">
        <x:f>IFERROR(J175/G175,0)</x:f>
        <x:v>0</x:v>
      </x:c>
      <x:c r="L175" s="50" t="str">
        <x:f>IF(B175="","",IF(J175=MAX(SUMIFS($J$2:$J$200,$B$2:$B$200,B175,$C$2:$C$200,C175,$D$2:$D$200,"A"),SUMIFS($J$2:$J$200,$B$2:$B$200,B175,$C$2:$C$200,C175,$D$2:$D$200,"B")),"Current Winner",""))</x:f>
      </x:c>
      <x:c r="M175" s="50"/>
      <x:c r="N175" s="50"/>
      <x:c r="O175" s="50"/>
      <x:c r="P175" s="50"/>
      <x:c r="Q175" s="50"/>
      <x:c r="R175" s="50"/>
      <x:c r="S175" s="50"/>
      <x:c r="T175" s="50"/>
      <x:c r="U175" s="50"/>
      <x:c r="V175" s="50"/>
      <x:c r="W175" s="50"/>
      <x:c r="X175" s="50"/>
      <x:c r="Y175" s="50"/>
      <x:c r="Z175" s="50"/>
    </x:row>
    <x:row r="176">
      <x:c r="A176" s="67"/>
      <x:c r="B176" s="50"/>
      <x:c r="C176" s="50"/>
      <x:c r="D176" s="50"/>
      <x:c r="E176" s="68"/>
      <x:c r="F176" s="50"/>
      <x:c r="G176" s="69"/>
      <x:c r="H176" s="69"/>
      <x:c r="I176" s="70" t="n">
        <x:f>IFERROR(H176/G176,0)</x:f>
        <x:v>0</x:v>
      </x:c>
      <x:c r="J176" s="68" t="n">
        <x:f>IFERROR(E176*H176,0)</x:f>
        <x:v>0</x:v>
      </x:c>
      <x:c r="K176" s="68" t="n">
        <x:f>IFERROR(J176/G176,0)</x:f>
        <x:v>0</x:v>
      </x:c>
      <x:c r="L176" s="50" t="str">
        <x:f>IF(B176="","",IF(J176=MAX(SUMIFS($J$2:$J$200,$B$2:$B$200,B176,$C$2:$C$200,C176,$D$2:$D$200,"A"),SUMIFS($J$2:$J$200,$B$2:$B$200,B176,$C$2:$C$200,C176,$D$2:$D$200,"B")),"Current Winner",""))</x:f>
      </x:c>
      <x:c r="M176" s="50"/>
      <x:c r="N176" s="50"/>
      <x:c r="O176" s="50"/>
      <x:c r="P176" s="50"/>
      <x:c r="Q176" s="50"/>
      <x:c r="R176" s="50"/>
      <x:c r="S176" s="50"/>
      <x:c r="T176" s="50"/>
      <x:c r="U176" s="50"/>
      <x:c r="V176" s="50"/>
      <x:c r="W176" s="50"/>
      <x:c r="X176" s="50"/>
      <x:c r="Y176" s="50"/>
      <x:c r="Z176" s="50"/>
    </x:row>
    <x:row r="177">
      <x:c r="A177" s="67"/>
      <x:c r="B177" s="50"/>
      <x:c r="C177" s="50"/>
      <x:c r="D177" s="50"/>
      <x:c r="E177" s="68"/>
      <x:c r="F177" s="50"/>
      <x:c r="G177" s="69"/>
      <x:c r="H177" s="69"/>
      <x:c r="I177" s="70" t="n">
        <x:f>IFERROR(H177/G177,0)</x:f>
        <x:v>0</x:v>
      </x:c>
      <x:c r="J177" s="68" t="n">
        <x:f>IFERROR(E177*H177,0)</x:f>
        <x:v>0</x:v>
      </x:c>
      <x:c r="K177" s="68" t="n">
        <x:f>IFERROR(J177/G177,0)</x:f>
        <x:v>0</x:v>
      </x:c>
      <x:c r="L177" s="50" t="str">
        <x:f>IF(B177="","",IF(J177=MAX(SUMIFS($J$2:$J$200,$B$2:$B$200,B177,$C$2:$C$200,C177,$D$2:$D$200,"A"),SUMIFS($J$2:$J$200,$B$2:$B$200,B177,$C$2:$C$200,C177,$D$2:$D$200,"B")),"Current Winner",""))</x:f>
      </x:c>
      <x:c r="M177" s="50"/>
      <x:c r="N177" s="50"/>
      <x:c r="O177" s="50"/>
      <x:c r="P177" s="50"/>
      <x:c r="Q177" s="50"/>
      <x:c r="R177" s="50"/>
      <x:c r="S177" s="50"/>
      <x:c r="T177" s="50"/>
      <x:c r="U177" s="50"/>
      <x:c r="V177" s="50"/>
      <x:c r="W177" s="50"/>
      <x:c r="X177" s="50"/>
      <x:c r="Y177" s="50"/>
      <x:c r="Z177" s="50"/>
    </x:row>
    <x:row r="178">
      <x:c r="A178" s="67"/>
      <x:c r="B178" s="50"/>
      <x:c r="C178" s="50"/>
      <x:c r="D178" s="50"/>
      <x:c r="E178" s="68"/>
      <x:c r="F178" s="50"/>
      <x:c r="G178" s="69"/>
      <x:c r="H178" s="69"/>
      <x:c r="I178" s="70" t="n">
        <x:f>IFERROR(H178/G178,0)</x:f>
        <x:v>0</x:v>
      </x:c>
      <x:c r="J178" s="68" t="n">
        <x:f>IFERROR(E178*H178,0)</x:f>
        <x:v>0</x:v>
      </x:c>
      <x:c r="K178" s="68" t="n">
        <x:f>IFERROR(J178/G178,0)</x:f>
        <x:v>0</x:v>
      </x:c>
      <x:c r="L178" s="50" t="str">
        <x:f>IF(B178="","",IF(J178=MAX(SUMIFS($J$2:$J$200,$B$2:$B$200,B178,$C$2:$C$200,C178,$D$2:$D$200,"A"),SUMIFS($J$2:$J$200,$B$2:$B$200,B178,$C$2:$C$200,C178,$D$2:$D$200,"B")),"Current Winner",""))</x:f>
      </x:c>
      <x:c r="M178" s="50"/>
      <x:c r="N178" s="50"/>
      <x:c r="O178" s="50"/>
      <x:c r="P178" s="50"/>
      <x:c r="Q178" s="50"/>
      <x:c r="R178" s="50"/>
      <x:c r="S178" s="50"/>
      <x:c r="T178" s="50"/>
      <x:c r="U178" s="50"/>
      <x:c r="V178" s="50"/>
      <x:c r="W178" s="50"/>
      <x:c r="X178" s="50"/>
      <x:c r="Y178" s="50"/>
      <x:c r="Z178" s="50"/>
    </x:row>
    <x:row r="179">
      <x:c r="A179" s="67"/>
      <x:c r="B179" s="50"/>
      <x:c r="C179" s="50"/>
      <x:c r="D179" s="50"/>
      <x:c r="E179" s="68"/>
      <x:c r="F179" s="50"/>
      <x:c r="G179" s="69"/>
      <x:c r="H179" s="69"/>
      <x:c r="I179" s="70" t="n">
        <x:f>IFERROR(H179/G179,0)</x:f>
        <x:v>0</x:v>
      </x:c>
      <x:c r="J179" s="68" t="n">
        <x:f>IFERROR(E179*H179,0)</x:f>
        <x:v>0</x:v>
      </x:c>
      <x:c r="K179" s="68" t="n">
        <x:f>IFERROR(J179/G179,0)</x:f>
        <x:v>0</x:v>
      </x:c>
      <x:c r="L179" s="50" t="str">
        <x:f>IF(B179="","",IF(J179=MAX(SUMIFS($J$2:$J$200,$B$2:$B$200,B179,$C$2:$C$200,C179,$D$2:$D$200,"A"),SUMIFS($J$2:$J$200,$B$2:$B$200,B179,$C$2:$C$200,C179,$D$2:$D$200,"B")),"Current Winner",""))</x:f>
      </x:c>
      <x:c r="M179" s="50"/>
      <x:c r="N179" s="50"/>
      <x:c r="O179" s="50"/>
      <x:c r="P179" s="50"/>
      <x:c r="Q179" s="50"/>
      <x:c r="R179" s="50"/>
      <x:c r="S179" s="50"/>
      <x:c r="T179" s="50"/>
      <x:c r="U179" s="50"/>
      <x:c r="V179" s="50"/>
      <x:c r="W179" s="50"/>
      <x:c r="X179" s="50"/>
      <x:c r="Y179" s="50"/>
      <x:c r="Z179" s="50"/>
    </x:row>
    <x:row r="180">
      <x:c r="A180" s="67"/>
      <x:c r="B180" s="50"/>
      <x:c r="C180" s="50"/>
      <x:c r="D180" s="50"/>
      <x:c r="E180" s="68"/>
      <x:c r="F180" s="50"/>
      <x:c r="G180" s="69"/>
      <x:c r="H180" s="69"/>
      <x:c r="I180" s="70" t="n">
        <x:f>IFERROR(H180/G180,0)</x:f>
        <x:v>0</x:v>
      </x:c>
      <x:c r="J180" s="68" t="n">
        <x:f>IFERROR(E180*H180,0)</x:f>
        <x:v>0</x:v>
      </x:c>
      <x:c r="K180" s="68" t="n">
        <x:f>IFERROR(J180/G180,0)</x:f>
        <x:v>0</x:v>
      </x:c>
      <x:c r="L180" s="50" t="str">
        <x:f>IF(B180="","",IF(J180=MAX(SUMIFS($J$2:$J$200,$B$2:$B$200,B180,$C$2:$C$200,C180,$D$2:$D$200,"A"),SUMIFS($J$2:$J$200,$B$2:$B$200,B180,$C$2:$C$200,C180,$D$2:$D$200,"B")),"Current Winner",""))</x:f>
      </x:c>
      <x:c r="M180" s="50"/>
      <x:c r="N180" s="50"/>
      <x:c r="O180" s="50"/>
      <x:c r="P180" s="50"/>
      <x:c r="Q180" s="50"/>
      <x:c r="R180" s="50"/>
      <x:c r="S180" s="50"/>
      <x:c r="T180" s="50"/>
      <x:c r="U180" s="50"/>
      <x:c r="V180" s="50"/>
      <x:c r="W180" s="50"/>
      <x:c r="X180" s="50"/>
      <x:c r="Y180" s="50"/>
      <x:c r="Z180" s="50"/>
    </x:row>
    <x:row r="181">
      <x:c r="A181" s="67"/>
      <x:c r="B181" s="50"/>
      <x:c r="C181" s="50"/>
      <x:c r="D181" s="50"/>
      <x:c r="E181" s="68"/>
      <x:c r="F181" s="50"/>
      <x:c r="G181" s="69"/>
      <x:c r="H181" s="69"/>
      <x:c r="I181" s="70" t="n">
        <x:f>IFERROR(H181/G181,0)</x:f>
        <x:v>0</x:v>
      </x:c>
      <x:c r="J181" s="68" t="n">
        <x:f>IFERROR(E181*H181,0)</x:f>
        <x:v>0</x:v>
      </x:c>
      <x:c r="K181" s="68" t="n">
        <x:f>IFERROR(J181/G181,0)</x:f>
        <x:v>0</x:v>
      </x:c>
      <x:c r="L181" s="50" t="str">
        <x:f>IF(B181="","",IF(J181=MAX(SUMIFS($J$2:$J$200,$B$2:$B$200,B181,$C$2:$C$200,C181,$D$2:$D$200,"A"),SUMIFS($J$2:$J$200,$B$2:$B$200,B181,$C$2:$C$200,C181,$D$2:$D$200,"B")),"Current Winner",""))</x:f>
      </x:c>
      <x:c r="M181" s="50"/>
      <x:c r="N181" s="50"/>
      <x:c r="O181" s="50"/>
      <x:c r="P181" s="50"/>
      <x:c r="Q181" s="50"/>
      <x:c r="R181" s="50"/>
      <x:c r="S181" s="50"/>
      <x:c r="T181" s="50"/>
      <x:c r="U181" s="50"/>
      <x:c r="V181" s="50"/>
      <x:c r="W181" s="50"/>
      <x:c r="X181" s="50"/>
      <x:c r="Y181" s="50"/>
      <x:c r="Z181" s="50"/>
    </x:row>
    <x:row r="182">
      <x:c r="A182" s="67"/>
      <x:c r="B182" s="50"/>
      <x:c r="C182" s="50"/>
      <x:c r="D182" s="50"/>
      <x:c r="E182" s="68"/>
      <x:c r="F182" s="50"/>
      <x:c r="G182" s="69"/>
      <x:c r="H182" s="69"/>
      <x:c r="I182" s="70" t="n">
        <x:f>IFERROR(H182/G182,0)</x:f>
        <x:v>0</x:v>
      </x:c>
      <x:c r="J182" s="68" t="n">
        <x:f>IFERROR(E182*H182,0)</x:f>
        <x:v>0</x:v>
      </x:c>
      <x:c r="K182" s="68" t="n">
        <x:f>IFERROR(J182/G182,0)</x:f>
        <x:v>0</x:v>
      </x:c>
      <x:c r="L182" s="50" t="str">
        <x:f>IF(B182="","",IF(J182=MAX(SUMIFS($J$2:$J$200,$B$2:$B$200,B182,$C$2:$C$200,C182,$D$2:$D$200,"A"),SUMIFS($J$2:$J$200,$B$2:$B$200,B182,$C$2:$C$200,C182,$D$2:$D$200,"B")),"Current Winner",""))</x:f>
      </x:c>
      <x:c r="M182" s="50"/>
      <x:c r="N182" s="50"/>
      <x:c r="O182" s="50"/>
      <x:c r="P182" s="50"/>
      <x:c r="Q182" s="50"/>
      <x:c r="R182" s="50"/>
      <x:c r="S182" s="50"/>
      <x:c r="T182" s="50"/>
      <x:c r="U182" s="50"/>
      <x:c r="V182" s="50"/>
      <x:c r="W182" s="50"/>
      <x:c r="X182" s="50"/>
      <x:c r="Y182" s="50"/>
      <x:c r="Z182" s="50"/>
    </x:row>
    <x:row r="183">
      <x:c r="A183" s="67"/>
      <x:c r="B183" s="50"/>
      <x:c r="C183" s="50"/>
      <x:c r="D183" s="50"/>
      <x:c r="E183" s="68"/>
      <x:c r="F183" s="50"/>
      <x:c r="G183" s="69"/>
      <x:c r="H183" s="69"/>
      <x:c r="I183" s="70" t="n">
        <x:f>IFERROR(H183/G183,0)</x:f>
        <x:v>0</x:v>
      </x:c>
      <x:c r="J183" s="68" t="n">
        <x:f>IFERROR(E183*H183,0)</x:f>
        <x:v>0</x:v>
      </x:c>
      <x:c r="K183" s="68" t="n">
        <x:f>IFERROR(J183/G183,0)</x:f>
        <x:v>0</x:v>
      </x:c>
      <x:c r="L183" s="50" t="str">
        <x:f>IF(B183="","",IF(J183=MAX(SUMIFS($J$2:$J$200,$B$2:$B$200,B183,$C$2:$C$200,C183,$D$2:$D$200,"A"),SUMIFS($J$2:$J$200,$B$2:$B$200,B183,$C$2:$C$200,C183,$D$2:$D$200,"B")),"Current Winner",""))</x:f>
      </x:c>
      <x:c r="M183" s="50"/>
      <x:c r="N183" s="50"/>
      <x:c r="O183" s="50"/>
      <x:c r="P183" s="50"/>
      <x:c r="Q183" s="50"/>
      <x:c r="R183" s="50"/>
      <x:c r="S183" s="50"/>
      <x:c r="T183" s="50"/>
      <x:c r="U183" s="50"/>
      <x:c r="V183" s="50"/>
      <x:c r="W183" s="50"/>
      <x:c r="X183" s="50"/>
      <x:c r="Y183" s="50"/>
      <x:c r="Z183" s="50"/>
    </x:row>
    <x:row r="184">
      <x:c r="A184" s="67"/>
      <x:c r="B184" s="50"/>
      <x:c r="C184" s="50"/>
      <x:c r="D184" s="50"/>
      <x:c r="E184" s="68"/>
      <x:c r="F184" s="50"/>
      <x:c r="G184" s="69"/>
      <x:c r="H184" s="69"/>
      <x:c r="I184" s="70" t="n">
        <x:f>IFERROR(H184/G184,0)</x:f>
        <x:v>0</x:v>
      </x:c>
      <x:c r="J184" s="68" t="n">
        <x:f>IFERROR(E184*H184,0)</x:f>
        <x:v>0</x:v>
      </x:c>
      <x:c r="K184" s="68" t="n">
        <x:f>IFERROR(J184/G184,0)</x:f>
        <x:v>0</x:v>
      </x:c>
      <x:c r="L184" s="50" t="str">
        <x:f>IF(B184="","",IF(J184=MAX(SUMIFS($J$2:$J$200,$B$2:$B$200,B184,$C$2:$C$200,C184,$D$2:$D$200,"A"),SUMIFS($J$2:$J$200,$B$2:$B$200,B184,$C$2:$C$200,C184,$D$2:$D$200,"B")),"Current Winner",""))</x:f>
      </x:c>
      <x:c r="M184" s="50"/>
      <x:c r="N184" s="50"/>
      <x:c r="O184" s="50"/>
      <x:c r="P184" s="50"/>
      <x:c r="Q184" s="50"/>
      <x:c r="R184" s="50"/>
      <x:c r="S184" s="50"/>
      <x:c r="T184" s="50"/>
      <x:c r="U184" s="50"/>
      <x:c r="V184" s="50"/>
      <x:c r="W184" s="50"/>
      <x:c r="X184" s="50"/>
      <x:c r="Y184" s="50"/>
      <x:c r="Z184" s="50"/>
    </x:row>
    <x:row r="185">
      <x:c r="A185" s="67"/>
      <x:c r="B185" s="50"/>
      <x:c r="C185" s="50"/>
      <x:c r="D185" s="50"/>
      <x:c r="E185" s="68"/>
      <x:c r="F185" s="50"/>
      <x:c r="G185" s="69"/>
      <x:c r="H185" s="69"/>
      <x:c r="I185" s="70" t="n">
        <x:f>IFERROR(H185/G185,0)</x:f>
        <x:v>0</x:v>
      </x:c>
      <x:c r="J185" s="68" t="n">
        <x:f>IFERROR(E185*H185,0)</x:f>
        <x:v>0</x:v>
      </x:c>
      <x:c r="K185" s="68" t="n">
        <x:f>IFERROR(J185/G185,0)</x:f>
        <x:v>0</x:v>
      </x:c>
      <x:c r="L185" s="50" t="str">
        <x:f>IF(B185="","",IF(J185=MAX(SUMIFS($J$2:$J$200,$B$2:$B$200,B185,$C$2:$C$200,C185,$D$2:$D$200,"A"),SUMIFS($J$2:$J$200,$B$2:$B$200,B185,$C$2:$C$200,C185,$D$2:$D$200,"B")),"Current Winner",""))</x:f>
      </x:c>
      <x:c r="M185" s="50"/>
      <x:c r="N185" s="50"/>
      <x:c r="O185" s="50"/>
      <x:c r="P185" s="50"/>
      <x:c r="Q185" s="50"/>
      <x:c r="R185" s="50"/>
      <x:c r="S185" s="50"/>
      <x:c r="T185" s="50"/>
      <x:c r="U185" s="50"/>
      <x:c r="V185" s="50"/>
      <x:c r="W185" s="50"/>
      <x:c r="X185" s="50"/>
      <x:c r="Y185" s="50"/>
      <x:c r="Z185" s="50"/>
    </x:row>
    <x:row r="186">
      <x:c r="A186" s="67"/>
      <x:c r="B186" s="50"/>
      <x:c r="C186" s="50"/>
      <x:c r="D186" s="50"/>
      <x:c r="E186" s="68"/>
      <x:c r="F186" s="50"/>
      <x:c r="G186" s="69"/>
      <x:c r="H186" s="69"/>
      <x:c r="I186" s="70" t="n">
        <x:f>IFERROR(H186/G186,0)</x:f>
        <x:v>0</x:v>
      </x:c>
      <x:c r="J186" s="68" t="n">
        <x:f>IFERROR(E186*H186,0)</x:f>
        <x:v>0</x:v>
      </x:c>
      <x:c r="K186" s="68" t="n">
        <x:f>IFERROR(J186/G186,0)</x:f>
        <x:v>0</x:v>
      </x:c>
      <x:c r="L186" s="50" t="str">
        <x:f>IF(B186="","",IF(J186=MAX(SUMIFS($J$2:$J$200,$B$2:$B$200,B186,$C$2:$C$200,C186,$D$2:$D$200,"A"),SUMIFS($J$2:$J$200,$B$2:$B$200,B186,$C$2:$C$200,C186,$D$2:$D$200,"B")),"Current Winner",""))</x:f>
      </x:c>
      <x:c r="M186" s="50"/>
      <x:c r="N186" s="50"/>
      <x:c r="O186" s="50"/>
      <x:c r="P186" s="50"/>
      <x:c r="Q186" s="50"/>
      <x:c r="R186" s="50"/>
      <x:c r="S186" s="50"/>
      <x:c r="T186" s="50"/>
      <x:c r="U186" s="50"/>
      <x:c r="V186" s="50"/>
      <x:c r="W186" s="50"/>
      <x:c r="X186" s="50"/>
      <x:c r="Y186" s="50"/>
      <x:c r="Z186" s="50"/>
    </x:row>
    <x:row r="187">
      <x:c r="A187" s="67"/>
      <x:c r="B187" s="50"/>
      <x:c r="C187" s="50"/>
      <x:c r="D187" s="50"/>
      <x:c r="E187" s="68"/>
      <x:c r="F187" s="50"/>
      <x:c r="G187" s="69"/>
      <x:c r="H187" s="69"/>
      <x:c r="I187" s="70" t="n">
        <x:f>IFERROR(H187/G187,0)</x:f>
        <x:v>0</x:v>
      </x:c>
      <x:c r="J187" s="68" t="n">
        <x:f>IFERROR(E187*H187,0)</x:f>
        <x:v>0</x:v>
      </x:c>
      <x:c r="K187" s="68" t="n">
        <x:f>IFERROR(J187/G187,0)</x:f>
        <x:v>0</x:v>
      </x:c>
      <x:c r="L187" s="50" t="str">
        <x:f>IF(B187="","",IF(J187=MAX(SUMIFS($J$2:$J$200,$B$2:$B$200,B187,$C$2:$C$200,C187,$D$2:$D$200,"A"),SUMIFS($J$2:$J$200,$B$2:$B$200,B187,$C$2:$C$200,C187,$D$2:$D$200,"B")),"Current Winner",""))</x:f>
      </x:c>
      <x:c r="M187" s="50"/>
      <x:c r="N187" s="50"/>
      <x:c r="O187" s="50"/>
      <x:c r="P187" s="50"/>
      <x:c r="Q187" s="50"/>
      <x:c r="R187" s="50"/>
      <x:c r="S187" s="50"/>
      <x:c r="T187" s="50"/>
      <x:c r="U187" s="50"/>
      <x:c r="V187" s="50"/>
      <x:c r="W187" s="50"/>
      <x:c r="X187" s="50"/>
      <x:c r="Y187" s="50"/>
      <x:c r="Z187" s="50"/>
    </x:row>
    <x:row r="188">
      <x:c r="A188" s="67"/>
      <x:c r="B188" s="50"/>
      <x:c r="C188" s="50"/>
      <x:c r="D188" s="50"/>
      <x:c r="E188" s="68"/>
      <x:c r="F188" s="50"/>
      <x:c r="G188" s="69"/>
      <x:c r="H188" s="69"/>
      <x:c r="I188" s="70" t="n">
        <x:f>IFERROR(H188/G188,0)</x:f>
        <x:v>0</x:v>
      </x:c>
      <x:c r="J188" s="68" t="n">
        <x:f>IFERROR(E188*H188,0)</x:f>
        <x:v>0</x:v>
      </x:c>
      <x:c r="K188" s="68" t="n">
        <x:f>IFERROR(J188/G188,0)</x:f>
        <x:v>0</x:v>
      </x:c>
      <x:c r="L188" s="50" t="str">
        <x:f>IF(B188="","",IF(J188=MAX(SUMIFS($J$2:$J$200,$B$2:$B$200,B188,$C$2:$C$200,C188,$D$2:$D$200,"A"),SUMIFS($J$2:$J$200,$B$2:$B$200,B188,$C$2:$C$200,C188,$D$2:$D$200,"B")),"Current Winner",""))</x:f>
      </x:c>
      <x:c r="M188" s="50"/>
      <x:c r="N188" s="50"/>
      <x:c r="O188" s="50"/>
      <x:c r="P188" s="50"/>
      <x:c r="Q188" s="50"/>
      <x:c r="R188" s="50"/>
      <x:c r="S188" s="50"/>
      <x:c r="T188" s="50"/>
      <x:c r="U188" s="50"/>
      <x:c r="V188" s="50"/>
      <x:c r="W188" s="50"/>
      <x:c r="X188" s="50"/>
      <x:c r="Y188" s="50"/>
      <x:c r="Z188" s="50"/>
    </x:row>
    <x:row r="189">
      <x:c r="A189" s="67"/>
      <x:c r="B189" s="50"/>
      <x:c r="C189" s="50"/>
      <x:c r="D189" s="50"/>
      <x:c r="E189" s="68"/>
      <x:c r="F189" s="50"/>
      <x:c r="G189" s="69"/>
      <x:c r="H189" s="69"/>
      <x:c r="I189" s="70" t="n">
        <x:f>IFERROR(H189/G189,0)</x:f>
        <x:v>0</x:v>
      </x:c>
      <x:c r="J189" s="68" t="n">
        <x:f>IFERROR(E189*H189,0)</x:f>
        <x:v>0</x:v>
      </x:c>
      <x:c r="K189" s="68" t="n">
        <x:f>IFERROR(J189/G189,0)</x:f>
        <x:v>0</x:v>
      </x:c>
      <x:c r="L189" s="50" t="str">
        <x:f>IF(B189="","",IF(J189=MAX(SUMIFS($J$2:$J$200,$B$2:$B$200,B189,$C$2:$C$200,C189,$D$2:$D$200,"A"),SUMIFS($J$2:$J$200,$B$2:$B$200,B189,$C$2:$C$200,C189,$D$2:$D$200,"B")),"Current Winner",""))</x:f>
      </x:c>
      <x:c r="M189" s="50"/>
      <x:c r="N189" s="50"/>
      <x:c r="O189" s="50"/>
      <x:c r="P189" s="50"/>
      <x:c r="Q189" s="50"/>
      <x:c r="R189" s="50"/>
      <x:c r="S189" s="50"/>
      <x:c r="T189" s="50"/>
      <x:c r="U189" s="50"/>
      <x:c r="V189" s="50"/>
      <x:c r="W189" s="50"/>
      <x:c r="X189" s="50"/>
      <x:c r="Y189" s="50"/>
      <x:c r="Z189" s="50"/>
    </x:row>
    <x:row r="190">
      <x:c r="A190" s="67"/>
      <x:c r="B190" s="50"/>
      <x:c r="C190" s="50"/>
      <x:c r="D190" s="50"/>
      <x:c r="E190" s="68"/>
      <x:c r="F190" s="50"/>
      <x:c r="G190" s="69"/>
      <x:c r="H190" s="69"/>
      <x:c r="I190" s="70" t="n">
        <x:f>IFERROR(H190/G190,0)</x:f>
        <x:v>0</x:v>
      </x:c>
      <x:c r="J190" s="68" t="n">
        <x:f>IFERROR(E190*H190,0)</x:f>
        <x:v>0</x:v>
      </x:c>
      <x:c r="K190" s="68" t="n">
        <x:f>IFERROR(J190/G190,0)</x:f>
        <x:v>0</x:v>
      </x:c>
      <x:c r="L190" s="50" t="str">
        <x:f>IF(B190="","",IF(J190=MAX(SUMIFS($J$2:$J$200,$B$2:$B$200,B190,$C$2:$C$200,C190,$D$2:$D$200,"A"),SUMIFS($J$2:$J$200,$B$2:$B$200,B190,$C$2:$C$200,C190,$D$2:$D$200,"B")),"Current Winner",""))</x:f>
      </x:c>
      <x:c r="M190" s="50"/>
      <x:c r="N190" s="50"/>
      <x:c r="O190" s="50"/>
      <x:c r="P190" s="50"/>
      <x:c r="Q190" s="50"/>
      <x:c r="R190" s="50"/>
      <x:c r="S190" s="50"/>
      <x:c r="T190" s="50"/>
      <x:c r="U190" s="50"/>
      <x:c r="V190" s="50"/>
      <x:c r="W190" s="50"/>
      <x:c r="X190" s="50"/>
      <x:c r="Y190" s="50"/>
      <x:c r="Z190" s="50"/>
    </x:row>
    <x:row r="191">
      <x:c r="A191" s="67"/>
      <x:c r="B191" s="50"/>
      <x:c r="C191" s="50"/>
      <x:c r="D191" s="50"/>
      <x:c r="E191" s="68"/>
      <x:c r="F191" s="50"/>
      <x:c r="G191" s="69"/>
      <x:c r="H191" s="69"/>
      <x:c r="I191" s="70" t="n">
        <x:f>IFERROR(H191/G191,0)</x:f>
        <x:v>0</x:v>
      </x:c>
      <x:c r="J191" s="68" t="n">
        <x:f>IFERROR(E191*H191,0)</x:f>
        <x:v>0</x:v>
      </x:c>
      <x:c r="K191" s="68" t="n">
        <x:f>IFERROR(J191/G191,0)</x:f>
        <x:v>0</x:v>
      </x:c>
      <x:c r="L191" s="50" t="str">
        <x:f>IF(B191="","",IF(J191=MAX(SUMIFS($J$2:$J$200,$B$2:$B$200,B191,$C$2:$C$200,C191,$D$2:$D$200,"A"),SUMIFS($J$2:$J$200,$B$2:$B$200,B191,$C$2:$C$200,C191,$D$2:$D$200,"B")),"Current Winner",""))</x:f>
      </x:c>
      <x:c r="M191" s="50"/>
      <x:c r="N191" s="50"/>
      <x:c r="O191" s="50"/>
      <x:c r="P191" s="50"/>
      <x:c r="Q191" s="50"/>
      <x:c r="R191" s="50"/>
      <x:c r="S191" s="50"/>
      <x:c r="T191" s="50"/>
      <x:c r="U191" s="50"/>
      <x:c r="V191" s="50"/>
      <x:c r="W191" s="50"/>
      <x:c r="X191" s="50"/>
      <x:c r="Y191" s="50"/>
      <x:c r="Z191" s="50"/>
    </x:row>
    <x:row r="192">
      <x:c r="A192" s="67"/>
      <x:c r="B192" s="50"/>
      <x:c r="C192" s="50"/>
      <x:c r="D192" s="50"/>
      <x:c r="E192" s="68"/>
      <x:c r="F192" s="50"/>
      <x:c r="G192" s="69"/>
      <x:c r="H192" s="69"/>
      <x:c r="I192" s="70" t="n">
        <x:f>IFERROR(H192/G192,0)</x:f>
        <x:v>0</x:v>
      </x:c>
      <x:c r="J192" s="68" t="n">
        <x:f>IFERROR(E192*H192,0)</x:f>
        <x:v>0</x:v>
      </x:c>
      <x:c r="K192" s="68" t="n">
        <x:f>IFERROR(J192/G192,0)</x:f>
        <x:v>0</x:v>
      </x:c>
      <x:c r="L192" s="50" t="str">
        <x:f>IF(B192="","",IF(J192=MAX(SUMIFS($J$2:$J$200,$B$2:$B$200,B192,$C$2:$C$200,C192,$D$2:$D$200,"A"),SUMIFS($J$2:$J$200,$B$2:$B$200,B192,$C$2:$C$200,C192,$D$2:$D$200,"B")),"Current Winner",""))</x:f>
      </x:c>
      <x:c r="M192" s="50"/>
      <x:c r="N192" s="50"/>
      <x:c r="O192" s="50"/>
      <x:c r="P192" s="50"/>
      <x:c r="Q192" s="50"/>
      <x:c r="R192" s="50"/>
      <x:c r="S192" s="50"/>
      <x:c r="T192" s="50"/>
      <x:c r="U192" s="50"/>
      <x:c r="V192" s="50"/>
      <x:c r="W192" s="50"/>
      <x:c r="X192" s="50"/>
      <x:c r="Y192" s="50"/>
      <x:c r="Z192" s="50"/>
    </x:row>
    <x:row r="193">
      <x:c r="A193" s="67"/>
      <x:c r="B193" s="50"/>
      <x:c r="C193" s="50"/>
      <x:c r="D193" s="50"/>
      <x:c r="E193" s="68"/>
      <x:c r="F193" s="50"/>
      <x:c r="G193" s="69"/>
      <x:c r="H193" s="69"/>
      <x:c r="I193" s="70" t="n">
        <x:f>IFERROR(H193/G193,0)</x:f>
        <x:v>0</x:v>
      </x:c>
      <x:c r="J193" s="68" t="n">
        <x:f>IFERROR(E193*H193,0)</x:f>
        <x:v>0</x:v>
      </x:c>
      <x:c r="K193" s="68" t="n">
        <x:f>IFERROR(J193/G193,0)</x:f>
        <x:v>0</x:v>
      </x:c>
      <x:c r="L193" s="50" t="str">
        <x:f>IF(B193="","",IF(J193=MAX(SUMIFS($J$2:$J$200,$B$2:$B$200,B193,$C$2:$C$200,C193,$D$2:$D$200,"A"),SUMIFS($J$2:$J$200,$B$2:$B$200,B193,$C$2:$C$200,C193,$D$2:$D$200,"B")),"Current Winner",""))</x:f>
      </x:c>
      <x:c r="M193" s="50"/>
      <x:c r="N193" s="50"/>
      <x:c r="O193" s="50"/>
      <x:c r="P193" s="50"/>
      <x:c r="Q193" s="50"/>
      <x:c r="R193" s="50"/>
      <x:c r="S193" s="50"/>
      <x:c r="T193" s="50"/>
      <x:c r="U193" s="50"/>
      <x:c r="V193" s="50"/>
      <x:c r="W193" s="50"/>
      <x:c r="X193" s="50"/>
      <x:c r="Y193" s="50"/>
      <x:c r="Z193" s="50"/>
    </x:row>
    <x:row r="194">
      <x:c r="A194" s="67"/>
      <x:c r="B194" s="50"/>
      <x:c r="C194" s="50"/>
      <x:c r="D194" s="50"/>
      <x:c r="E194" s="68"/>
      <x:c r="F194" s="50"/>
      <x:c r="G194" s="69"/>
      <x:c r="H194" s="69"/>
      <x:c r="I194" s="70" t="n">
        <x:f>IFERROR(H194/G194,0)</x:f>
        <x:v>0</x:v>
      </x:c>
      <x:c r="J194" s="68" t="n">
        <x:f>IFERROR(E194*H194,0)</x:f>
        <x:v>0</x:v>
      </x:c>
      <x:c r="K194" s="68" t="n">
        <x:f>IFERROR(J194/G194,0)</x:f>
        <x:v>0</x:v>
      </x:c>
      <x:c r="L194" s="50" t="str">
        <x:f>IF(B194="","",IF(J194=MAX(SUMIFS($J$2:$J$200,$B$2:$B$200,B194,$C$2:$C$200,C194,$D$2:$D$200,"A"),SUMIFS($J$2:$J$200,$B$2:$B$200,B194,$C$2:$C$200,C194,$D$2:$D$200,"B")),"Current Winner",""))</x:f>
      </x:c>
      <x:c r="M194" s="50"/>
      <x:c r="N194" s="50"/>
      <x:c r="O194" s="50"/>
      <x:c r="P194" s="50"/>
      <x:c r="Q194" s="50"/>
      <x:c r="R194" s="50"/>
      <x:c r="S194" s="50"/>
      <x:c r="T194" s="50"/>
      <x:c r="U194" s="50"/>
      <x:c r="V194" s="50"/>
      <x:c r="W194" s="50"/>
      <x:c r="X194" s="50"/>
      <x:c r="Y194" s="50"/>
      <x:c r="Z194" s="50"/>
    </x:row>
    <x:row r="195">
      <x:c r="A195" s="67"/>
      <x:c r="B195" s="50"/>
      <x:c r="C195" s="50"/>
      <x:c r="D195" s="50"/>
      <x:c r="E195" s="68"/>
      <x:c r="F195" s="50"/>
      <x:c r="G195" s="69"/>
      <x:c r="H195" s="69"/>
      <x:c r="I195" s="70" t="n">
        <x:f>IFERROR(H195/G195,0)</x:f>
        <x:v>0</x:v>
      </x:c>
      <x:c r="J195" s="68" t="n">
        <x:f>IFERROR(E195*H195,0)</x:f>
        <x:v>0</x:v>
      </x:c>
      <x:c r="K195" s="68" t="n">
        <x:f>IFERROR(J195/G195,0)</x:f>
        <x:v>0</x:v>
      </x:c>
      <x:c r="L195" s="50" t="str">
        <x:f>IF(B195="","",IF(J195=MAX(SUMIFS($J$2:$J$200,$B$2:$B$200,B195,$C$2:$C$200,C195,$D$2:$D$200,"A"),SUMIFS($J$2:$J$200,$B$2:$B$200,B195,$C$2:$C$200,C195,$D$2:$D$200,"B")),"Current Winner",""))</x:f>
      </x:c>
      <x:c r="M195" s="50"/>
      <x:c r="N195" s="50"/>
      <x:c r="O195" s="50"/>
      <x:c r="P195" s="50"/>
      <x:c r="Q195" s="50"/>
      <x:c r="R195" s="50"/>
      <x:c r="S195" s="50"/>
      <x:c r="T195" s="50"/>
      <x:c r="U195" s="50"/>
      <x:c r="V195" s="50"/>
      <x:c r="W195" s="50"/>
      <x:c r="X195" s="50"/>
      <x:c r="Y195" s="50"/>
      <x:c r="Z195" s="50"/>
    </x:row>
    <x:row r="196">
      <x:c r="A196" s="67"/>
      <x:c r="B196" s="50"/>
      <x:c r="C196" s="50"/>
      <x:c r="D196" s="50"/>
      <x:c r="E196" s="68"/>
      <x:c r="F196" s="50"/>
      <x:c r="G196" s="69"/>
      <x:c r="H196" s="69"/>
      <x:c r="I196" s="70" t="n">
        <x:f>IFERROR(H196/G196,0)</x:f>
        <x:v>0</x:v>
      </x:c>
      <x:c r="J196" s="68" t="n">
        <x:f>IFERROR(E196*H196,0)</x:f>
        <x:v>0</x:v>
      </x:c>
      <x:c r="K196" s="68" t="n">
        <x:f>IFERROR(J196/G196,0)</x:f>
        <x:v>0</x:v>
      </x:c>
      <x:c r="L196" s="50" t="str">
        <x:f>IF(B196="","",IF(J196=MAX(SUMIFS($J$2:$J$200,$B$2:$B$200,B196,$C$2:$C$200,C196,$D$2:$D$200,"A"),SUMIFS($J$2:$J$200,$B$2:$B$200,B196,$C$2:$C$200,C196,$D$2:$D$200,"B")),"Current Winner",""))</x:f>
      </x:c>
      <x:c r="M196" s="50"/>
      <x:c r="N196" s="50"/>
      <x:c r="O196" s="50"/>
      <x:c r="P196" s="50"/>
      <x:c r="Q196" s="50"/>
      <x:c r="R196" s="50"/>
      <x:c r="S196" s="50"/>
      <x:c r="T196" s="50"/>
      <x:c r="U196" s="50"/>
      <x:c r="V196" s="50"/>
      <x:c r="W196" s="50"/>
      <x:c r="X196" s="50"/>
      <x:c r="Y196" s="50"/>
      <x:c r="Z196" s="50"/>
    </x:row>
    <x:row r="197">
      <x:c r="A197" s="67"/>
      <x:c r="B197" s="50"/>
      <x:c r="C197" s="50"/>
      <x:c r="D197" s="50"/>
      <x:c r="E197" s="68"/>
      <x:c r="F197" s="50"/>
      <x:c r="G197" s="69"/>
      <x:c r="H197" s="69"/>
      <x:c r="I197" s="70" t="n">
        <x:f>IFERROR(H197/G197,0)</x:f>
        <x:v>0</x:v>
      </x:c>
      <x:c r="J197" s="68" t="n">
        <x:f>IFERROR(E197*H197,0)</x:f>
        <x:v>0</x:v>
      </x:c>
      <x:c r="K197" s="68" t="n">
        <x:f>IFERROR(J197/G197,0)</x:f>
        <x:v>0</x:v>
      </x:c>
      <x:c r="L197" s="50" t="str">
        <x:f>IF(B197="","",IF(J197=MAX(SUMIFS($J$2:$J$200,$B$2:$B$200,B197,$C$2:$C$200,C197,$D$2:$D$200,"A"),SUMIFS($J$2:$J$200,$B$2:$B$200,B197,$C$2:$C$200,C197,$D$2:$D$200,"B")),"Current Winner",""))</x:f>
      </x:c>
      <x:c r="M197" s="50"/>
      <x:c r="N197" s="50"/>
      <x:c r="O197" s="50"/>
      <x:c r="P197" s="50"/>
      <x:c r="Q197" s="50"/>
      <x:c r="R197" s="50"/>
      <x:c r="S197" s="50"/>
      <x:c r="T197" s="50"/>
      <x:c r="U197" s="50"/>
      <x:c r="V197" s="50"/>
      <x:c r="W197" s="50"/>
      <x:c r="X197" s="50"/>
      <x:c r="Y197" s="50"/>
      <x:c r="Z197" s="50"/>
    </x:row>
    <x:row r="198">
      <x:c r="A198" s="67"/>
      <x:c r="B198" s="50"/>
      <x:c r="C198" s="50"/>
      <x:c r="D198" s="50"/>
      <x:c r="E198" s="68"/>
      <x:c r="F198" s="50"/>
      <x:c r="G198" s="69"/>
      <x:c r="H198" s="69"/>
      <x:c r="I198" s="70" t="n">
        <x:f>IFERROR(H198/G198,0)</x:f>
        <x:v>0</x:v>
      </x:c>
      <x:c r="J198" s="68" t="n">
        <x:f>IFERROR(E198*H198,0)</x:f>
        <x:v>0</x:v>
      </x:c>
      <x:c r="K198" s="68" t="n">
        <x:f>IFERROR(J198/G198,0)</x:f>
        <x:v>0</x:v>
      </x:c>
      <x:c r="L198" s="50" t="str">
        <x:f>IF(B198="","",IF(J198=MAX(SUMIFS($J$2:$J$200,$B$2:$B$200,B198,$C$2:$C$200,C198,$D$2:$D$200,"A"),SUMIFS($J$2:$J$200,$B$2:$B$200,B198,$C$2:$C$200,C198,$D$2:$D$200,"B")),"Current Winner",""))</x:f>
      </x:c>
      <x:c r="M198" s="50"/>
      <x:c r="N198" s="50"/>
      <x:c r="O198" s="50"/>
      <x:c r="P198" s="50"/>
      <x:c r="Q198" s="50"/>
      <x:c r="R198" s="50"/>
      <x:c r="S198" s="50"/>
      <x:c r="T198" s="50"/>
      <x:c r="U198" s="50"/>
      <x:c r="V198" s="50"/>
      <x:c r="W198" s="50"/>
      <x:c r="X198" s="50"/>
      <x:c r="Y198" s="50"/>
      <x:c r="Z198" s="50"/>
    </x:row>
    <x:row r="199">
      <x:c r="A199" s="67"/>
      <x:c r="B199" s="50"/>
      <x:c r="C199" s="50"/>
      <x:c r="D199" s="50"/>
      <x:c r="E199" s="68"/>
      <x:c r="F199" s="50"/>
      <x:c r="G199" s="69"/>
      <x:c r="H199" s="69"/>
      <x:c r="I199" s="70" t="n">
        <x:f>IFERROR(H199/G199,0)</x:f>
        <x:v>0</x:v>
      </x:c>
      <x:c r="J199" s="68" t="n">
        <x:f>IFERROR(E199*H199,0)</x:f>
        <x:v>0</x:v>
      </x:c>
      <x:c r="K199" s="68" t="n">
        <x:f>IFERROR(J199/G199,0)</x:f>
        <x:v>0</x:v>
      </x:c>
      <x:c r="L199" s="50" t="str">
        <x:f>IF(B199="","",IF(J199=MAX(SUMIFS($J$2:$J$200,$B$2:$B$200,B199,$C$2:$C$200,C199,$D$2:$D$200,"A"),SUMIFS($J$2:$J$200,$B$2:$B$200,B199,$C$2:$C$200,C199,$D$2:$D$200,"B")),"Current Winner",""))</x:f>
      </x:c>
      <x:c r="M199" s="50"/>
      <x:c r="N199" s="50"/>
      <x:c r="O199" s="50"/>
      <x:c r="P199" s="50"/>
      <x:c r="Q199" s="50"/>
      <x:c r="R199" s="50"/>
      <x:c r="S199" s="50"/>
      <x:c r="T199" s="50"/>
      <x:c r="U199" s="50"/>
      <x:c r="V199" s="50"/>
      <x:c r="W199" s="50"/>
      <x:c r="X199" s="50"/>
      <x:c r="Y199" s="50"/>
      <x:c r="Z199" s="50"/>
    </x:row>
    <x:row r="200">
      <x:c r="A200" s="67"/>
      <x:c r="B200" s="50"/>
      <x:c r="C200" s="50"/>
      <x:c r="D200" s="50"/>
      <x:c r="E200" s="68"/>
      <x:c r="F200" s="50"/>
      <x:c r="G200" s="69"/>
      <x:c r="H200" s="69"/>
      <x:c r="I200" s="70" t="n">
        <x:f>IFERROR(H200/G200,0)</x:f>
        <x:v>0</x:v>
      </x:c>
      <x:c r="J200" s="68" t="n">
        <x:f>IFERROR(E200*H200,0)</x:f>
        <x:v>0</x:v>
      </x:c>
      <x:c r="K200" s="68" t="n">
        <x:f>IFERROR(J200/G200,0)</x:f>
        <x:v>0</x:v>
      </x:c>
      <x:c r="L200" s="50" t="str">
        <x:f>IF(B200="","",IF(J200=MAX(SUMIFS($J$2:$J$200,$B$2:$B$200,B200,$C$2:$C$200,C200,$D$2:$D$200,"A"),SUMIFS($J$2:$J$200,$B$2:$B$200,B200,$C$2:$C$200,C200,$D$2:$D$200,"B")),"Current Winner",""))</x:f>
      </x:c>
      <x:c r="M200" s="50"/>
      <x:c r="N200" s="50"/>
      <x:c r="O200" s="50"/>
      <x:c r="P200" s="50"/>
      <x:c r="Q200" s="50"/>
      <x:c r="R200" s="50"/>
      <x:c r="S200" s="50"/>
      <x:c r="T200" s="50"/>
      <x:c r="U200" s="50"/>
      <x:c r="V200" s="50"/>
      <x:c r="W200" s="50"/>
      <x:c r="X200" s="50"/>
      <x:c r="Y200" s="50"/>
      <x:c r="Z200" s="50"/>
    </x:row>
  </x:sheetData>
  <x:dataValidations count="2">
    <x:dataValidation type="list" sqref="D2:D200">
      <x:formula1>"A,B,C"</x:formula1>
    </x:dataValidation>
    <x:dataValidation type="list" sqref="B2:B200">
      <x:formula1>"BLE Scanner,Secure Vault"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e360dea32149a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33.650001525878906" hidden="0" customWidth="1"/>
    <x:col min="2" max="2" width="11.569999694824219" hidden="0" customWidth="1"/>
    <x:col min="3" max="3" width="10.09000015258789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54" t="str">
        <x:v>A/B Price Testing Dashboard</x:v>
      </x:c>
      <x:c r="B1" s="54"/>
      <x:c r="C1" s="54"/>
      <x:c r="D1" s="54"/>
      <x:c r="E1" s="54"/>
      <x:c r="F1" s="54"/>
      <x:c r="G1" s="54"/>
      <x:c r="H1" s="54"/>
      <x:c r="I1" s="50"/>
      <x:c r="J1" s="50"/>
      <x:c r="K1" s="50"/>
      <x:c r="L1" s="50"/>
      <x:c r="M1" s="50"/>
      <x:c r="N1" s="50"/>
      <x:c r="O1" s="50"/>
      <x:c r="P1" s="50"/>
      <x:c r="Q1" s="50"/>
      <x:c r="R1" s="50"/>
      <x:c r="S1" s="50"/>
      <x:c r="T1" s="50"/>
      <x:c r="U1" s="50"/>
      <x:c r="V1" s="50"/>
      <x:c r="W1" s="50"/>
      <x:c r="X1" s="50"/>
      <x:c r="Y1" s="50"/>
      <x:c r="Z1" s="50"/>
    </x:row>
    <x:row r="2">
      <x:c r="A2" s="50"/>
      <x:c r="B2" s="50"/>
      <x:c r="C2" s="50"/>
      <x:c r="D2" s="50"/>
      <x:c r="E2" s="50"/>
      <x:c r="F2" s="50"/>
      <x:c r="G2" s="50"/>
      <x:c r="H2" s="50"/>
      <x:c r="I2" s="50"/>
      <x:c r="J2" s="50"/>
      <x:c r="K2" s="50"/>
      <x:c r="L2" s="50"/>
      <x:c r="M2" s="50"/>
      <x:c r="N2" s="50"/>
      <x:c r="O2" s="50"/>
      <x:c r="P2" s="50"/>
      <x:c r="Q2" s="50"/>
      <x:c r="R2" s="50"/>
      <x:c r="S2" s="50"/>
      <x:c r="T2" s="50"/>
      <x:c r="U2" s="50"/>
      <x:c r="V2" s="50"/>
      <x:c r="W2" s="50"/>
      <x:c r="X2" s="50"/>
      <x:c r="Y2" s="50"/>
      <x:c r="Z2" s="50"/>
    </x:row>
    <x:row r="3">
      <x:c r="A3" s="63" t="str">
        <x:v>Total Impressions</x:v>
      </x:c>
      <x:c r="B3" s="71" t="n">
        <x:f>SUM(AB_TEST!G2:G200)</x:f>
        <x:v>11100</x:v>
      </x:c>
      <x:c r="C3" s="50"/>
      <x:c r="D3" s="57" t="str">
        <x:v>How to use</x:v>
      </x:c>
      <x:c r="E3" s="57"/>
      <x:c r="F3" s="57"/>
      <x:c r="G3" s="57"/>
      <x:c r="H3" s="57"/>
      <x:c r="I3" s="50"/>
      <x:c r="J3" s="50"/>
      <x:c r="K3" s="50"/>
      <x:c r="L3" s="50"/>
      <x:c r="M3" s="50"/>
      <x:c r="N3" s="50"/>
      <x:c r="O3" s="50"/>
      <x:c r="P3" s="50"/>
      <x:c r="Q3" s="50"/>
      <x:c r="R3" s="50"/>
      <x:c r="S3" s="50"/>
      <x:c r="T3" s="50"/>
      <x:c r="U3" s="50"/>
      <x:c r="V3" s="50"/>
      <x:c r="W3" s="50"/>
      <x:c r="X3" s="50"/>
      <x:c r="Y3" s="50"/>
      <x:c r="Z3" s="50"/>
    </x:row>
    <x:row r="4">
      <x:c r="A4" s="63" t="str">
        <x:v>Total Purchases</x:v>
      </x:c>
      <x:c r="B4" s="71" t="n">
        <x:f>SUM(AB_TEST!H2:H200)</x:f>
        <x:v>519</x:v>
      </x:c>
      <x:c r="C4" s="50"/>
      <x:c r="D4" s="66" t="str">
        <x:v>1) Add weekly price tests in AB_TEST.</x:v>
      </x:c>
      <x:c r="E4" s="66"/>
      <x:c r="F4" s="66"/>
      <x:c r="G4" s="66"/>
      <x:c r="H4" s="66"/>
      <x:c r="I4" s="50"/>
      <x:c r="J4" s="50"/>
      <x:c r="K4" s="50"/>
      <x:c r="L4" s="50"/>
      <x:c r="M4" s="50"/>
      <x:c r="N4" s="50"/>
      <x:c r="O4" s="50"/>
      <x:c r="P4" s="50"/>
      <x:c r="Q4" s="50"/>
      <x:c r="R4" s="50"/>
      <x:c r="S4" s="50"/>
      <x:c r="T4" s="50"/>
      <x:c r="U4" s="50"/>
      <x:c r="V4" s="50"/>
      <x:c r="W4" s="50"/>
      <x:c r="X4" s="50"/>
      <x:c r="Y4" s="50"/>
      <x:c r="Z4" s="50"/>
    </x:row>
    <x:row r="5">
      <x:c r="A5" s="63" t="str">
        <x:v>Total Revenue</x:v>
      </x:c>
      <x:c r="B5" s="71" t="n">
        <x:f>SUM(AB_TEST!J2:J200)</x:f>
        <x:v>17327.8</x:v>
      </x:c>
      <x:c r="C5" s="50"/>
      <x:c r="D5" s="66" t="str">
        <x:v>2) Keep each test country/app split clean: A vs B.</x:v>
      </x:c>
      <x:c r="E5" s="66"/>
      <x:c r="F5" s="66"/>
      <x:c r="G5" s="66"/>
      <x:c r="H5" s="66"/>
      <x:c r="I5" s="50"/>
      <x:c r="J5" s="50"/>
      <x:c r="K5" s="50"/>
      <x:c r="L5" s="50"/>
      <x:c r="M5" s="50"/>
      <x:c r="N5" s="50"/>
      <x:c r="O5" s="50"/>
      <x:c r="P5" s="50"/>
      <x:c r="Q5" s="50"/>
      <x:c r="R5" s="50"/>
      <x:c r="S5" s="50"/>
      <x:c r="T5" s="50"/>
      <x:c r="U5" s="50"/>
      <x:c r="V5" s="50"/>
      <x:c r="W5" s="50"/>
      <x:c r="X5" s="50"/>
      <x:c r="Y5" s="50"/>
      <x:c r="Z5" s="50"/>
    </x:row>
    <x:row r="6">
      <x:c r="A6" s="63" t="str">
        <x:v>Avg Conversion</x:v>
      </x:c>
      <x:c r="B6" s="72" t="n">
        <x:f>IFERROR(SUM(AB_TEST!H2:H200)/SUM(AB_TEST!G2:G200),0)</x:f>
        <x:v>0.04675675675675676</x:v>
      </x:c>
      <x:c r="C6" s="50"/>
      <x:c r="D6" s="66" t="str">
        <x:v>3) Judge by Revenue first, then Conversion.</x:v>
      </x:c>
      <x:c r="E6" s="66"/>
      <x:c r="F6" s="66"/>
      <x:c r="G6" s="66"/>
      <x:c r="H6" s="66"/>
      <x:c r="I6" s="50"/>
      <x:c r="J6" s="50"/>
      <x:c r="K6" s="50"/>
      <x:c r="L6" s="50"/>
      <x:c r="M6" s="50"/>
      <x:c r="N6" s="50"/>
      <x:c r="O6" s="50"/>
      <x:c r="P6" s="50"/>
      <x:c r="Q6" s="50"/>
      <x:c r="R6" s="50"/>
      <x:c r="S6" s="50"/>
      <x:c r="T6" s="50"/>
      <x:c r="U6" s="50"/>
      <x:c r="V6" s="50"/>
      <x:c r="W6" s="50"/>
      <x:c r="X6" s="50"/>
      <x:c r="Y6" s="50"/>
      <x:c r="Z6" s="50"/>
    </x:row>
    <x:row r="7">
      <x:c r="A7" s="63" t="str">
        <x:v>Avg ARPU</x:v>
      </x:c>
      <x:c r="B7" s="73" t="n">
        <x:f>IFERROR(SUM(AB_TEST!J2:J200)/SUM(AB_TEST!G2:G200),0)</x:f>
        <x:v>1.561063063063063</x:v>
      </x:c>
      <x:c r="C7" s="50"/>
      <x:c r="D7" s="66" t="str">
        <x:v>4) Run each variant at least 7 days if possible.</x:v>
      </x:c>
      <x:c r="E7" s="66"/>
      <x:c r="F7" s="66"/>
      <x:c r="G7" s="66"/>
      <x:c r="H7" s="66"/>
      <x:c r="I7" s="50"/>
      <x:c r="J7" s="50"/>
      <x:c r="K7" s="50"/>
      <x:c r="L7" s="50"/>
      <x:c r="M7" s="50"/>
      <x:c r="N7" s="50"/>
      <x:c r="O7" s="50"/>
      <x:c r="P7" s="50"/>
      <x:c r="Q7" s="50"/>
      <x:c r="R7" s="50"/>
      <x:c r="S7" s="50"/>
      <x:c r="T7" s="50"/>
      <x:c r="U7" s="50"/>
      <x:c r="V7" s="50"/>
      <x:c r="W7" s="50"/>
      <x:c r="X7" s="50"/>
      <x:c r="Y7" s="50"/>
      <x:c r="Z7" s="50"/>
    </x:row>
    <x:row r="8">
      <x:c r="A8" s="63" t="str">
        <x:v>Best Variant by Revenue</x:v>
      </x:c>
      <x:c r="B8" s="65" t="str">
        <x:f>INDEX(A13:A14,MATCH(MAX(E13:E14),E13:E14,0))</x:f>
        <x:v>B</x:v>
      </x:c>
      <x:c r="C8" s="50"/>
      <x:c r="D8" s="66" t="str">
        <x:v>5) After winner is clear, update Play Store pricing.</x:v>
      </x:c>
      <x:c r="E8" s="66"/>
      <x:c r="F8" s="66"/>
      <x:c r="G8" s="66"/>
      <x:c r="H8" s="66"/>
      <x:c r="I8" s="50"/>
      <x:c r="J8" s="50"/>
      <x:c r="K8" s="50"/>
      <x:c r="L8" s="50"/>
      <x:c r="M8" s="50"/>
      <x:c r="N8" s="50"/>
      <x:c r="O8" s="50"/>
      <x:c r="P8" s="50"/>
      <x:c r="Q8" s="50"/>
      <x:c r="R8" s="50"/>
      <x:c r="S8" s="50"/>
      <x:c r="T8" s="50"/>
      <x:c r="U8" s="50"/>
      <x:c r="V8" s="50"/>
      <x:c r="W8" s="50"/>
      <x:c r="X8" s="50"/>
      <x:c r="Y8" s="50"/>
      <x:c r="Z8" s="50"/>
    </x:row>
    <x:row r="9">
      <x:c r="A9" s="50"/>
      <x:c r="B9" s="50"/>
      <x:c r="C9" s="50"/>
      <x:c r="D9" s="50"/>
      <x:c r="E9" s="50"/>
      <x:c r="F9" s="50"/>
      <x:c r="G9" s="50"/>
      <x:c r="H9" s="50"/>
      <x:c r="I9" s="50"/>
      <x:c r="J9" s="50"/>
      <x:c r="K9" s="50"/>
      <x:c r="L9" s="50"/>
      <x:c r="M9" s="50"/>
      <x:c r="N9" s="50"/>
      <x:c r="O9" s="50"/>
      <x:c r="P9" s="50"/>
      <x:c r="Q9" s="50"/>
      <x:c r="R9" s="50"/>
      <x:c r="S9" s="50"/>
      <x:c r="T9" s="50"/>
      <x:c r="U9" s="50"/>
      <x:c r="V9" s="50"/>
      <x:c r="W9" s="50"/>
      <x:c r="X9" s="50"/>
      <x:c r="Y9" s="50"/>
      <x:c r="Z9" s="50"/>
    </x:row>
    <x:row r="10">
      <x:c r="A10" s="57" t="str">
        <x:v>Variant Summary</x:v>
      </x:c>
      <x:c r="B10" s="57"/>
      <x:c r="C10" s="57"/>
      <x:c r="D10" s="57"/>
      <x:c r="E10" s="57"/>
      <x:c r="F10" s="57"/>
      <x:c r="G10" s="57"/>
      <x:c r="H10" s="57"/>
      <x:c r="I10" s="50"/>
      <x:c r="J10" s="50"/>
      <x:c r="K10" s="50"/>
      <x:c r="L10" s="50"/>
      <x:c r="M10" s="50"/>
      <x:c r="N10" s="50"/>
      <x:c r="O10" s="50"/>
      <x:c r="P10" s="50"/>
      <x:c r="Q10" s="50"/>
      <x:c r="R10" s="50"/>
      <x:c r="S10" s="50"/>
      <x:c r="T10" s="50"/>
      <x:c r="U10" s="50"/>
      <x:c r="V10" s="50"/>
      <x:c r="W10" s="50"/>
      <x:c r="X10" s="50"/>
      <x:c r="Y10" s="50"/>
      <x:c r="Z10" s="50"/>
    </x:row>
    <x:row r="11">
      <x:c r="A11" s="50"/>
      <x:c r="B11" s="50"/>
      <x:c r="C11" s="50"/>
      <x:c r="D11" s="50"/>
      <x:c r="E11" s="50"/>
      <x:c r="F11" s="50"/>
      <x:c r="G11" s="50"/>
      <x:c r="H11" s="50"/>
      <x:c r="I11" s="50"/>
      <x:c r="J11" s="50"/>
      <x:c r="K11" s="50"/>
      <x:c r="L11" s="50"/>
      <x:c r="M11" s="50"/>
      <x:c r="N11" s="50"/>
      <x:c r="O11" s="50"/>
      <x:c r="P11" s="50"/>
      <x:c r="Q11" s="50"/>
      <x:c r="R11" s="50"/>
      <x:c r="S11" s="50"/>
      <x:c r="T11" s="50"/>
      <x:c r="U11" s="50"/>
      <x:c r="V11" s="50"/>
      <x:c r="W11" s="50"/>
      <x:c r="X11" s="50"/>
      <x:c r="Y11" s="50"/>
      <x:c r="Z11" s="50"/>
    </x:row>
    <x:row r="12">
      <x:c r="A12" s="61" t="str">
        <x:v>Variant</x:v>
      </x:c>
      <x:c r="B12" s="61" t="str">
        <x:v>Impressions</x:v>
      </x:c>
      <x:c r="C12" s="61" t="str">
        <x:v>Purchases</x:v>
      </x:c>
      <x:c r="D12" s="61" t="str">
        <x:v>Conversion</x:v>
      </x:c>
      <x:c r="E12" s="61" t="str">
        <x:v>Revenue</x:v>
      </x:c>
      <x:c r="F12" s="61" t="str">
        <x:v>ARPU</x:v>
      </x:c>
      <x:c r="G12" s="61" t="str">
        <x:v>Revenue Share</x:v>
      </x:c>
      <x:c r="H12" s="61" t="str">
        <x:v>Decision</x:v>
      </x:c>
      <x:c r="I12" s="50"/>
      <x:c r="J12" s="50"/>
      <x:c r="K12" s="50"/>
      <x:c r="L12" s="50"/>
      <x:c r="M12" s="50"/>
      <x:c r="N12" s="50"/>
      <x:c r="O12" s="50"/>
      <x:c r="P12" s="50"/>
      <x:c r="Q12" s="50"/>
      <x:c r="R12" s="50"/>
      <x:c r="S12" s="50"/>
      <x:c r="T12" s="50"/>
      <x:c r="U12" s="50"/>
      <x:c r="V12" s="50"/>
      <x:c r="W12" s="50"/>
      <x:c r="X12" s="50"/>
      <x:c r="Y12" s="50"/>
      <x:c r="Z12" s="50"/>
    </x:row>
    <x:row r="13">
      <x:c r="A13" s="50" t="str">
        <x:v>A</x:v>
      </x:c>
      <x:c r="B13" s="50" t="n">
        <x:f>SUMIFS(AB_TEST!G2:G200,AB_TEST!D2:D200,A13)</x:f>
        <x:v>5260</x:v>
      </x:c>
      <x:c r="C13" s="50" t="n">
        <x:f>SUMIFS(AB_TEST!H2:H200,AB_TEST!D2:D200,A13)</x:f>
        <x:v>196</x:v>
      </x:c>
      <x:c r="D13" s="70" t="n">
        <x:f>IFERROR(C13/B13,0)</x:f>
        <x:v>0.037262357414448666</x:v>
      </x:c>
      <x:c r="E13" s="68" t="n">
        <x:f>SUMIFS(AB_TEST!J2:J200,AB_TEST!D2:D200,A13)</x:f>
        <x:v>8282</x:v>
      </x:c>
      <x:c r="F13" s="68" t="n">
        <x:f>IFERROR(E13/B13,0)</x:f>
        <x:v>1.5745247148288974</x:v>
      </x:c>
      <x:c r="G13" s="70" t="n">
        <x:f>IFERROR(E13/SUM($E$13:$E$14),0)</x:f>
        <x:v>0.47796027193296325</x:v>
      </x:c>
      <x:c r="H13" s="50" t="str">
        <x:f>IF(E13=MAX($E$13:$E$14),"Winner","")</x:f>
      </x:c>
      <x:c r="I13" s="50"/>
      <x:c r="J13" s="50"/>
      <x:c r="K13" s="50"/>
      <x:c r="L13" s="50"/>
      <x:c r="M13" s="50"/>
      <x:c r="N13" s="50"/>
      <x:c r="O13" s="50"/>
      <x:c r="P13" s="50"/>
      <x:c r="Q13" s="50"/>
      <x:c r="R13" s="50"/>
      <x:c r="S13" s="50"/>
      <x:c r="T13" s="50"/>
      <x:c r="U13" s="50"/>
      <x:c r="V13" s="50"/>
      <x:c r="W13" s="50"/>
      <x:c r="X13" s="50"/>
      <x:c r="Y13" s="50"/>
      <x:c r="Z13" s="50"/>
    </x:row>
    <x:row r="14">
      <x:c r="A14" s="50" t="str">
        <x:v>B</x:v>
      </x:c>
      <x:c r="B14" s="50" t="n">
        <x:f>SUMIFS(AB_TEST!G2:G200,AB_TEST!D2:D200,A14)</x:f>
        <x:v>5840</x:v>
      </x:c>
      <x:c r="C14" s="50" t="n">
        <x:f>SUMIFS(AB_TEST!H2:H200,AB_TEST!D2:D200,A14)</x:f>
        <x:v>323</x:v>
      </x:c>
      <x:c r="D14" s="70" t="n">
        <x:f>IFERROR(C14/B14,0)</x:f>
        <x:v>0.055308219178082194</x:v>
      </x:c>
      <x:c r="E14" s="68" t="n">
        <x:f>SUMIFS(AB_TEST!J2:J200,AB_TEST!D2:D200,A14)</x:f>
        <x:v>9045.8</x:v>
      </x:c>
      <x:c r="F14" s="68" t="n">
        <x:f>IFERROR(E14/B14,0)</x:f>
        <x:v>1.5489383561643835</x:v>
      </x:c>
      <x:c r="G14" s="70" t="n">
        <x:f>IFERROR(E14/SUM($E$13:$E$14),0)</x:f>
        <x:v>0.5220397280670368</x:v>
      </x:c>
      <x:c r="H14" s="50" t="str">
        <x:f>IF(E14=MAX($E$13:$E$14),"Winner","")</x:f>
        <x:v>Winner</x:v>
      </x:c>
      <x:c r="I14" s="50"/>
      <x:c r="J14" s="50"/>
      <x:c r="K14" s="50"/>
      <x:c r="L14" s="50"/>
      <x:c r="M14" s="50"/>
      <x:c r="N14" s="50"/>
      <x:c r="O14" s="50"/>
      <x:c r="P14" s="50"/>
      <x:c r="Q14" s="50"/>
      <x:c r="R14" s="50"/>
      <x:c r="S14" s="50"/>
      <x:c r="T14" s="50"/>
      <x:c r="U14" s="50"/>
      <x:c r="V14" s="50"/>
      <x:c r="W14" s="50"/>
      <x:c r="X14" s="50"/>
      <x:c r="Y14" s="50"/>
      <x:c r="Z14" s="50"/>
    </x:row>
    <x:row r="15">
      <x:c r="A15" s="50"/>
      <x:c r="B15" s="50"/>
      <x:c r="C15" s="50"/>
      <x:c r="D15" s="50"/>
      <x:c r="E15" s="50"/>
      <x:c r="F15" s="50"/>
      <x:c r="G15" s="50"/>
      <x:c r="H15" s="50"/>
      <x:c r="I15" s="50"/>
      <x:c r="J15" s="50"/>
      <x:c r="K15" s="50"/>
      <x:c r="L15" s="50"/>
      <x:c r="M15" s="50"/>
      <x:c r="N15" s="50"/>
      <x:c r="O15" s="50"/>
      <x:c r="P15" s="50"/>
      <x:c r="Q15" s="50"/>
      <x:c r="R15" s="50"/>
      <x:c r="S15" s="50"/>
      <x:c r="T15" s="50"/>
      <x:c r="U15" s="50"/>
      <x:c r="V15" s="50"/>
      <x:c r="W15" s="50"/>
      <x:c r="X15" s="50"/>
      <x:c r="Y15" s="50"/>
      <x:c r="Z15" s="50"/>
    </x:row>
    <x:row r="16">
      <x:c r="A16" s="50"/>
      <x:c r="B16" s="50"/>
      <x:c r="C16" s="50"/>
      <x:c r="D16" s="50"/>
      <x:c r="E16" s="50"/>
      <x:c r="F16" s="50"/>
      <x:c r="G16" s="50"/>
      <x:c r="H16" s="50"/>
      <x:c r="I16" s="50"/>
      <x:c r="J16" s="50"/>
      <x:c r="K16" s="50"/>
      <x:c r="L16" s="50"/>
      <x:c r="M16" s="50"/>
      <x:c r="N16" s="50"/>
      <x:c r="O16" s="50"/>
      <x:c r="P16" s="50"/>
      <x:c r="Q16" s="50"/>
      <x:c r="R16" s="50"/>
      <x:c r="S16" s="50"/>
      <x:c r="T16" s="50"/>
      <x:c r="U16" s="50"/>
      <x:c r="V16" s="50"/>
      <x:c r="W16" s="50"/>
      <x:c r="X16" s="50"/>
      <x:c r="Y16" s="50"/>
      <x:c r="Z16" s="50"/>
    </x:row>
    <x:row r="17">
      <x:c r="A17" s="57" t="str">
        <x:v>Country / App Breakdown</x:v>
      </x:c>
      <x:c r="B17" s="57"/>
      <x:c r="C17" s="57"/>
      <x:c r="D17" s="57"/>
      <x:c r="E17" s="57"/>
      <x:c r="F17" s="57"/>
      <x:c r="G17" s="57"/>
      <x:c r="H17" s="57"/>
      <x:c r="I17" s="50"/>
      <x:c r="J17" s="50"/>
      <x:c r="K17" s="50"/>
      <x:c r="L17" s="50"/>
      <x:c r="M17" s="50"/>
      <x:c r="N17" s="50"/>
      <x:c r="O17" s="50"/>
      <x:c r="P17" s="50"/>
      <x:c r="Q17" s="50"/>
      <x:c r="R17" s="50"/>
      <x:c r="S17" s="50"/>
      <x:c r="T17" s="50"/>
      <x:c r="U17" s="50"/>
      <x:c r="V17" s="50"/>
      <x:c r="W17" s="50"/>
      <x:c r="X17" s="50"/>
      <x:c r="Y17" s="50"/>
      <x:c r="Z17" s="50"/>
    </x:row>
    <x:row r="18">
      <x:c r="A18" s="50"/>
      <x:c r="B18" s="50"/>
      <x:c r="C18" s="50"/>
      <x:c r="D18" s="50"/>
      <x:c r="E18" s="50"/>
      <x:c r="F18" s="50"/>
      <x:c r="G18" s="50"/>
      <x:c r="H18" s="50"/>
      <x:c r="I18" s="50"/>
      <x:c r="J18" s="50"/>
      <x:c r="K18" s="50"/>
      <x:c r="L18" s="50"/>
      <x:c r="M18" s="50"/>
      <x:c r="N18" s="50"/>
      <x:c r="O18" s="50"/>
      <x:c r="P18" s="50"/>
      <x:c r="Q18" s="50"/>
      <x:c r="R18" s="50"/>
      <x:c r="S18" s="50"/>
      <x:c r="T18" s="50"/>
      <x:c r="U18" s="50"/>
      <x:c r="V18" s="50"/>
      <x:c r="W18" s="50"/>
      <x:c r="X18" s="50"/>
      <x:c r="Y18" s="50"/>
      <x:c r="Z18" s="50"/>
    </x:row>
    <x:row r="19">
      <x:c r="A19" s="61" t="str">
        <x:v>App</x:v>
      </x:c>
      <x:c r="B19" s="61" t="str">
        <x:v>Country</x:v>
      </x:c>
      <x:c r="C19" s="61" t="str">
        <x:v>Variant</x:v>
      </x:c>
      <x:c r="D19" s="61" t="str">
        <x:v>Impressions</x:v>
      </x:c>
      <x:c r="E19" s="61" t="str">
        <x:v>Purchases</x:v>
      </x:c>
      <x:c r="F19" s="61" t="str">
        <x:v>Conversion</x:v>
      </x:c>
      <x:c r="G19" s="61" t="str">
        <x:v>Revenue</x:v>
      </x:c>
      <x:c r="H19" s="61" t="str">
        <x:v>ARPU</x:v>
      </x:c>
      <x:c r="I19" s="50"/>
      <x:c r="J19" s="50"/>
      <x:c r="K19" s="50"/>
      <x:c r="L19" s="50"/>
      <x:c r="M19" s="50"/>
      <x:c r="N19" s="50"/>
      <x:c r="O19" s="50"/>
      <x:c r="P19" s="50"/>
      <x:c r="Q19" s="50"/>
      <x:c r="R19" s="50"/>
      <x:c r="S19" s="50"/>
      <x:c r="T19" s="50"/>
      <x:c r="U19" s="50"/>
      <x:c r="V19" s="50"/>
      <x:c r="W19" s="50"/>
      <x:c r="X19" s="50"/>
      <x:c r="Y19" s="50"/>
      <x:c r="Z19" s="50"/>
    </x:row>
    <x:row r="20">
      <x:c r="A20" s="50" t="str">
        <x:v>BLE Scanner</x:v>
      </x:c>
      <x:c r="B20" s="50" t="str">
        <x:v>TR</x:v>
      </x:c>
      <x:c r="C20" s="50" t="str">
        <x:v>A</x:v>
      </x:c>
      <x:c r="D20" s="69" t="n">
        <x:f>SUMIFS(AB_TEST!G2:G200,AB_TEST!B2:B200,A20,AB_TEST!C2:C200,B20,AB_TEST!D2:D200,C20)</x:f>
        <x:v>1200</x:v>
      </x:c>
      <x:c r="E20" s="69" t="n">
        <x:f>SUMIFS(AB_TEST!H2:H200,AB_TEST!B2:B200,A20,AB_TEST!C2:C200,B20,AB_TEST!D2:D200,C20)</x:f>
        <x:v>48</x:v>
      </x:c>
      <x:c r="F20" s="70" t="n">
        <x:f>IFERROR(E20/D20,0)</x:f>
        <x:v>0.04</x:v>
      </x:c>
      <x:c r="G20" s="68" t="n">
        <x:f>SUMIFS(AB_TEST!J2:J200,AB_TEST!B2:B200,A20,AB_TEST!C2:C200,B20,AB_TEST!D2:D200,C20)</x:f>
        <x:v>1872</x:v>
      </x:c>
      <x:c r="H20" s="68" t="n">
        <x:f>IFERROR(G20/D20,0)</x:f>
        <x:v>1.56</x:v>
      </x:c>
      <x:c r="I20" s="50"/>
      <x:c r="J20" s="50"/>
      <x:c r="K20" s="50"/>
      <x:c r="L20" s="50"/>
      <x:c r="M20" s="50"/>
      <x:c r="N20" s="50"/>
      <x:c r="O20" s="50"/>
      <x:c r="P20" s="50"/>
      <x:c r="Q20" s="50"/>
      <x:c r="R20" s="50"/>
      <x:c r="S20" s="50"/>
      <x:c r="T20" s="50"/>
      <x:c r="U20" s="50"/>
      <x:c r="V20" s="50"/>
      <x:c r="W20" s="50"/>
      <x:c r="X20" s="50"/>
      <x:c r="Y20" s="50"/>
      <x:c r="Z20" s="50"/>
    </x:row>
    <x:row r="21">
      <x:c r="A21" s="50" t="str">
        <x:v>BLE Scanner</x:v>
      </x:c>
      <x:c r="B21" s="50" t="str">
        <x:v>TR</x:v>
      </x:c>
      <x:c r="C21" s="50" t="str">
        <x:v>B</x:v>
      </x:c>
      <x:c r="D21" s="69" t="n">
        <x:f>SUMIFS(AB_TEST!G2:G200,AB_TEST!B2:B200,A21,AB_TEST!C2:C200,B21,AB_TEST!D2:D200,C21)</x:f>
        <x:v>1350</x:v>
      </x:c>
      <x:c r="E21" s="69" t="n">
        <x:f>SUMIFS(AB_TEST!H2:H200,AB_TEST!B2:B200,A21,AB_TEST!C2:C200,B21,AB_TEST!D2:D200,C21)</x:f>
        <x:v>78</x:v>
      </x:c>
      <x:c r="F21" s="70" t="n">
        <x:f>IFERROR(E21/D21,0)</x:f>
        <x:v>0.057777777777777775</x:v>
      </x:c>
      <x:c r="G21" s="68" t="n">
        <x:f>SUMIFS(AB_TEST!J2:J200,AB_TEST!B2:B200,A21,AB_TEST!C2:C200,B21,AB_TEST!D2:D200,C21)</x:f>
        <x:v>2262</x:v>
      </x:c>
      <x:c r="H21" s="68" t="n">
        <x:f>IFERROR(G21/D21,0)</x:f>
        <x:v>1.6755555555555555</x:v>
      </x:c>
      <x:c r="I21" s="50"/>
      <x:c r="J21" s="50"/>
      <x:c r="K21" s="50"/>
      <x:c r="L21" s="50"/>
      <x:c r="M21" s="50"/>
      <x:c r="N21" s="50"/>
      <x:c r="O21" s="50"/>
      <x:c r="P21" s="50"/>
      <x:c r="Q21" s="50"/>
      <x:c r="R21" s="50"/>
      <x:c r="S21" s="50"/>
      <x:c r="T21" s="50"/>
      <x:c r="U21" s="50"/>
      <x:c r="V21" s="50"/>
      <x:c r="W21" s="50"/>
      <x:c r="X21" s="50"/>
      <x:c r="Y21" s="50"/>
      <x:c r="Z21" s="50"/>
    </x:row>
    <x:row r="22">
      <x:c r="A22" s="50" t="str">
        <x:v>Secure Vault</x:v>
      </x:c>
      <x:c r="B22" s="50" t="str">
        <x:v>TR</x:v>
      </x:c>
      <x:c r="C22" s="50" t="str">
        <x:v>A</x:v>
      </x:c>
      <x:c r="D22" s="69" t="n">
        <x:f>SUMIFS(AB_TEST!G2:G200,AB_TEST!B2:B200,A22,AB_TEST!C2:C200,B22,AB_TEST!D2:D200,C22)</x:f>
        <x:v>900</x:v>
      </x:c>
      <x:c r="E22" s="69" t="n">
        <x:f>SUMIFS(AB_TEST!H2:H200,AB_TEST!B2:B200,A22,AB_TEST!C2:C200,B22,AB_TEST!D2:D200,C22)</x:f>
        <x:v>32</x:v>
      </x:c>
      <x:c r="F22" s="70" t="n">
        <x:f>IFERROR(E22/D22,0)</x:f>
        <x:v>0.035555555555555556</x:v>
      </x:c>
      <x:c r="G22" s="68" t="n">
        <x:f>SUMIFS(AB_TEST!J2:J200,AB_TEST!B2:B200,A22,AB_TEST!C2:C200,B22,AB_TEST!D2:D200,C22)</x:f>
        <x:v>1568</x:v>
      </x:c>
      <x:c r="H22" s="68" t="n">
        <x:f>IFERROR(G22/D22,0)</x:f>
        <x:v>1.7422222222222221</x:v>
      </x:c>
      <x:c r="I22" s="50"/>
      <x:c r="J22" s="50"/>
      <x:c r="K22" s="50"/>
      <x:c r="L22" s="50"/>
      <x:c r="M22" s="50"/>
      <x:c r="N22" s="50"/>
      <x:c r="O22" s="50"/>
      <x:c r="P22" s="50"/>
      <x:c r="Q22" s="50"/>
      <x:c r="R22" s="50"/>
      <x:c r="S22" s="50"/>
      <x:c r="T22" s="50"/>
      <x:c r="U22" s="50"/>
      <x:c r="V22" s="50"/>
      <x:c r="W22" s="50"/>
      <x:c r="X22" s="50"/>
      <x:c r="Y22" s="50"/>
      <x:c r="Z22" s="50"/>
    </x:row>
    <x:row r="23">
      <x:c r="A23" s="50" t="str">
        <x:v>Secure Vault</x:v>
      </x:c>
      <x:c r="B23" s="50" t="str">
        <x:v>TR</x:v>
      </x:c>
      <x:c r="C23" s="50" t="str">
        <x:v>B</x:v>
      </x:c>
      <x:c r="D23" s="69" t="n">
        <x:f>SUMIFS(AB_TEST!G2:G200,AB_TEST!B2:B200,A23,AB_TEST!C2:C200,B23,AB_TEST!D2:D200,C23)</x:f>
        <x:v>960</x:v>
      </x:c>
      <x:c r="E23" s="69" t="n">
        <x:f>SUMIFS(AB_TEST!H2:H200,AB_TEST!B2:B200,A23,AB_TEST!C2:C200,B23,AB_TEST!D2:D200,C23)</x:f>
        <x:v>45</x:v>
      </x:c>
      <x:c r="F23" s="70" t="n">
        <x:f>IFERROR(E23/D23,0)</x:f>
        <x:v>0.046875</x:v>
      </x:c>
      <x:c r="G23" s="68" t="n">
        <x:f>SUMIFS(AB_TEST!J2:J200,AB_TEST!B2:B200,A23,AB_TEST!C2:C200,B23,AB_TEST!D2:D200,C23)</x:f>
        <x:v>1755</x:v>
      </x:c>
      <x:c r="H23" s="68" t="n">
        <x:f>IFERROR(G23/D23,0)</x:f>
        <x:v>1.828125</x:v>
      </x:c>
      <x:c r="I23" s="50"/>
      <x:c r="J23" s="50"/>
      <x:c r="K23" s="50"/>
      <x:c r="L23" s="50"/>
      <x:c r="M23" s="50"/>
      <x:c r="N23" s="50"/>
      <x:c r="O23" s="50"/>
      <x:c r="P23" s="50"/>
      <x:c r="Q23" s="50"/>
      <x:c r="R23" s="50"/>
      <x:c r="S23" s="50"/>
      <x:c r="T23" s="50"/>
      <x:c r="U23" s="50"/>
      <x:c r="V23" s="50"/>
      <x:c r="W23" s="50"/>
      <x:c r="X23" s="50"/>
      <x:c r="Y23" s="50"/>
      <x:c r="Z23" s="50"/>
    </x:row>
    <x:row r="24">
      <x:c r="A24" s="50" t="str">
        <x:v>BLE Scanner</x:v>
      </x:c>
      <x:c r="B24" s="50" t="str">
        <x:v>IN</x:v>
      </x:c>
      <x:c r="C24" s="50" t="str">
        <x:v>A</x:v>
      </x:c>
      <x:c r="D24" s="69" t="n">
        <x:f>SUMIFS(AB_TEST!G2:G200,AB_TEST!B2:B200,A24,AB_TEST!C2:C200,B24,AB_TEST!D2:D200,C24)</x:f>
        <x:v>2400</x:v>
      </x:c>
      <x:c r="E24" s="69" t="n">
        <x:f>SUMIFS(AB_TEST!H2:H200,AB_TEST!B2:B200,A24,AB_TEST!C2:C200,B24,AB_TEST!D2:D200,C24)</x:f>
        <x:v>96</x:v>
      </x:c>
      <x:c r="F24" s="70" t="n">
        <x:f>IFERROR(E24/D24,0)</x:f>
        <x:v>0.04</x:v>
      </x:c>
      <x:c r="G24" s="68" t="n">
        <x:f>SUMIFS(AB_TEST!J2:J200,AB_TEST!B2:B200,A24,AB_TEST!C2:C200,B24,AB_TEST!D2:D200,C24)</x:f>
        <x:v>4704</x:v>
      </x:c>
      <x:c r="H24" s="68" t="n">
        <x:f>IFERROR(G24/D24,0)</x:f>
        <x:v>1.96</x:v>
      </x:c>
      <x:c r="I24" s="50"/>
      <x:c r="J24" s="50"/>
      <x:c r="K24" s="50"/>
      <x:c r="L24" s="50"/>
      <x:c r="M24" s="50"/>
      <x:c r="N24" s="50"/>
      <x:c r="O24" s="50"/>
      <x:c r="P24" s="50"/>
      <x:c r="Q24" s="50"/>
      <x:c r="R24" s="50"/>
      <x:c r="S24" s="50"/>
      <x:c r="T24" s="50"/>
      <x:c r="U24" s="50"/>
      <x:c r="V24" s="50"/>
      <x:c r="W24" s="50"/>
      <x:c r="X24" s="50"/>
      <x:c r="Y24" s="50"/>
      <x:c r="Z24" s="50"/>
    </x:row>
    <x:row r="25">
      <x:c r="A25" s="50" t="str">
        <x:v>BLE Scanner</x:v>
      </x:c>
      <x:c r="B25" s="50" t="str">
        <x:v>IN</x:v>
      </x:c>
      <x:c r="C25" s="50" t="str">
        <x:v>B</x:v>
      </x:c>
      <x:c r="D25" s="69" t="n">
        <x:f>SUMIFS(AB_TEST!G2:G200,AB_TEST!B2:B200,A25,AB_TEST!C2:C200,B25,AB_TEST!D2:D200,C25)</x:f>
        <x:v>2700</x:v>
      </x:c>
      <x:c r="E25" s="69" t="n">
        <x:f>SUMIFS(AB_TEST!H2:H200,AB_TEST!B2:B200,A25,AB_TEST!C2:C200,B25,AB_TEST!D2:D200,C25)</x:f>
        <x:v>168</x:v>
      </x:c>
      <x:c r="F25" s="70" t="n">
        <x:f>IFERROR(E25/D25,0)</x:f>
        <x:v>0.06222222222222222</x:v>
      </x:c>
      <x:c r="G25" s="68" t="n">
        <x:f>SUMIFS(AB_TEST!J2:J200,AB_TEST!B2:B200,A25,AB_TEST!C2:C200,B25,AB_TEST!D2:D200,C25)</x:f>
        <x:v>4872</x:v>
      </x:c>
      <x:c r="H25" s="68" t="n">
        <x:f>IFERROR(G25/D25,0)</x:f>
        <x:v>1.8044444444444445</x:v>
      </x:c>
      <x:c r="I25" s="50"/>
      <x:c r="J25" s="50"/>
      <x:c r="K25" s="50"/>
      <x:c r="L25" s="50"/>
      <x:c r="M25" s="50"/>
      <x:c r="N25" s="50"/>
      <x:c r="O25" s="50"/>
      <x:c r="P25" s="50"/>
      <x:c r="Q25" s="50"/>
      <x:c r="R25" s="50"/>
      <x:c r="S25" s="50"/>
      <x:c r="T25" s="50"/>
      <x:c r="U25" s="50"/>
      <x:c r="V25" s="50"/>
      <x:c r="W25" s="50"/>
      <x:c r="X25" s="50"/>
      <x:c r="Y25" s="50"/>
      <x:c r="Z25" s="50"/>
    </x:row>
    <x:row r="26">
      <x:c r="A26" s="50" t="str">
        <x:v>Secure Vault</x:v>
      </x:c>
      <x:c r="B26" s="50" t="str">
        <x:v>BR</x:v>
      </x:c>
      <x:c r="C26" s="50" t="str">
        <x:v>A</x:v>
      </x:c>
      <x:c r="D26" s="69" t="n">
        <x:f>SUMIFS(AB_TEST!G2:G200,AB_TEST!B2:B200,A26,AB_TEST!C2:C200,B26,AB_TEST!D2:D200,C26)</x:f>
        <x:v>760</x:v>
      </x:c>
      <x:c r="E26" s="69" t="n">
        <x:f>SUMIFS(AB_TEST!H2:H200,AB_TEST!B2:B200,A26,AB_TEST!C2:C200,B26,AB_TEST!D2:D200,C26)</x:f>
        <x:v>20</x:v>
      </x:c>
      <x:c r="F26" s="70" t="n">
        <x:f>IFERROR(E26/D26,0)</x:f>
        <x:v>0.02631578947368421</x:v>
      </x:c>
      <x:c r="G26" s="68" t="n">
        <x:f>SUMIFS(AB_TEST!J2:J200,AB_TEST!B2:B200,A26,AB_TEST!C2:C200,B26,AB_TEST!D2:D200,C26)</x:f>
        <x:v>138</x:v>
      </x:c>
      <x:c r="H26" s="68" t="n">
        <x:f>IFERROR(G26/D26,0)</x:f>
        <x:v>0.18157894736842106</x:v>
      </x:c>
      <x:c r="I26" s="50"/>
      <x:c r="J26" s="50"/>
      <x:c r="K26" s="50"/>
      <x:c r="L26" s="50"/>
      <x:c r="M26" s="50"/>
      <x:c r="N26" s="50"/>
      <x:c r="O26" s="50"/>
      <x:c r="P26" s="50"/>
      <x:c r="Q26" s="50"/>
      <x:c r="R26" s="50"/>
      <x:c r="S26" s="50"/>
      <x:c r="T26" s="50"/>
      <x:c r="U26" s="50"/>
      <x:c r="V26" s="50"/>
      <x:c r="W26" s="50"/>
      <x:c r="X26" s="50"/>
      <x:c r="Y26" s="50"/>
      <x:c r="Z26" s="50"/>
    </x:row>
    <x:row r="27">
      <x:c r="A27" s="50" t="str">
        <x:v>Secure Vault</x:v>
      </x:c>
      <x:c r="B27" s="50" t="str">
        <x:v>BR</x:v>
      </x:c>
      <x:c r="C27" s="50" t="str">
        <x:v>B</x:v>
      </x:c>
      <x:c r="D27" s="69" t="n">
        <x:f>SUMIFS(AB_TEST!G2:G200,AB_TEST!B2:B200,A27,AB_TEST!C2:C200,B27,AB_TEST!D2:D200,C27)</x:f>
        <x:v>830</x:v>
      </x:c>
      <x:c r="E27" s="69" t="n">
        <x:f>SUMIFS(AB_TEST!H2:H200,AB_TEST!B2:B200,A27,AB_TEST!C2:C200,B27,AB_TEST!D2:D200,C27)</x:f>
        <x:v>32</x:v>
      </x:c>
      <x:c r="F27" s="70" t="n">
        <x:f>IFERROR(E27/D27,0)</x:f>
        <x:v>0.03855421686746988</x:v>
      </x:c>
      <x:c r="G27" s="68" t="n">
        <x:f>SUMIFS(AB_TEST!J2:J200,AB_TEST!B2:B200,A27,AB_TEST!C2:C200,B27,AB_TEST!D2:D200,C27)</x:f>
        <x:v>156.8</x:v>
      </x:c>
      <x:c r="H27" s="68" t="n">
        <x:f>IFERROR(G27/D27,0)</x:f>
        <x:v>0.18891566265060242</x:v>
      </x:c>
      <x:c r="I27" s="50"/>
      <x:c r="J27" s="50"/>
      <x:c r="K27" s="50"/>
      <x:c r="L27" s="50"/>
      <x:c r="M27" s="50"/>
      <x:c r="N27" s="50"/>
      <x:c r="O27" s="50"/>
      <x:c r="P27" s="50"/>
      <x:c r="Q27" s="50"/>
      <x:c r="R27" s="50"/>
      <x:c r="S27" s="50"/>
      <x:c r="T27" s="50"/>
      <x:c r="U27" s="50"/>
      <x:c r="V27" s="50"/>
      <x:c r="W27" s="50"/>
      <x:c r="X27" s="50"/>
      <x:c r="Y27" s="50"/>
      <x:c r="Z27" s="50"/>
    </x:row>
    <x:row r="28">
      <x:c r="A28" s="50"/>
      <x:c r="B28" s="50"/>
      <x:c r="C28" s="50"/>
      <x:c r="D28" s="50"/>
      <x:c r="E28" s="50"/>
      <x:c r="F28" s="50"/>
      <x:c r="G28" s="50"/>
      <x:c r="H28" s="50"/>
      <x:c r="I28" s="50"/>
      <x:c r="J28" s="50"/>
      <x:c r="K28" s="50"/>
      <x:c r="L28" s="50"/>
      <x:c r="M28" s="50"/>
      <x:c r="N28" s="50"/>
      <x:c r="O28" s="50"/>
      <x:c r="P28" s="50"/>
      <x:c r="Q28" s="50"/>
      <x:c r="R28" s="50"/>
      <x:c r="S28" s="50"/>
      <x:c r="T28" s="50"/>
      <x:c r="U28" s="50"/>
      <x:c r="V28" s="50"/>
      <x:c r="W28" s="50"/>
      <x:c r="X28" s="50"/>
      <x:c r="Y28" s="50"/>
      <x:c r="Z28" s="50"/>
    </x:row>
    <x:row r="29">
      <x:c r="A29" s="50"/>
      <x:c r="B29" s="50"/>
      <x:c r="C29" s="50"/>
      <x:c r="D29" s="50"/>
      <x:c r="E29" s="50"/>
      <x:c r="F29" s="50"/>
      <x:c r="G29" s="50"/>
      <x:c r="H29" s="50"/>
      <x:c r="I29" s="50"/>
      <x:c r="J29" s="50"/>
      <x:c r="K29" s="50"/>
      <x:c r="L29" s="50"/>
      <x:c r="M29" s="50"/>
      <x:c r="N29" s="50"/>
      <x:c r="O29" s="50"/>
      <x:c r="P29" s="50"/>
      <x:c r="Q29" s="50"/>
      <x:c r="R29" s="50"/>
      <x:c r="S29" s="50"/>
      <x:c r="T29" s="50"/>
      <x:c r="U29" s="50"/>
      <x:c r="V29" s="50"/>
      <x:c r="W29" s="50"/>
      <x:c r="X29" s="50"/>
      <x:c r="Y29" s="50"/>
      <x:c r="Z29" s="50"/>
    </x:row>
    <x:row r="30">
      <x:c r="A30" s="50"/>
      <x:c r="B30" s="50"/>
      <x:c r="C30" s="50"/>
      <x:c r="D30" s="50"/>
      <x:c r="E30" s="50"/>
      <x:c r="F30" s="50"/>
      <x:c r="G30" s="50"/>
      <x:c r="H30" s="50"/>
      <x:c r="I30" s="50"/>
      <x:c r="J30" s="50"/>
      <x:c r="K30" s="50"/>
      <x:c r="L30" s="50"/>
      <x:c r="M30" s="50"/>
      <x:c r="N30" s="50"/>
      <x:c r="O30" s="50"/>
      <x:c r="P30" s="50"/>
      <x:c r="Q30" s="50"/>
      <x:c r="R30" s="50"/>
      <x:c r="S30" s="50"/>
      <x:c r="T30" s="50"/>
      <x:c r="U30" s="50"/>
      <x:c r="V30" s="50"/>
      <x:c r="W30" s="50"/>
      <x:c r="X30" s="50"/>
      <x:c r="Y30" s="50"/>
      <x:c r="Z30" s="50"/>
    </x:row>
    <x:row r="31">
      <x:c r="A31" s="50"/>
      <x:c r="B31" s="50"/>
      <x:c r="C31" s="50"/>
      <x:c r="D31" s="50"/>
      <x:c r="E31" s="50"/>
      <x:c r="F31" s="50"/>
      <x:c r="G31" s="50"/>
      <x:c r="H31" s="50"/>
      <x:c r="I31" s="50"/>
      <x:c r="J31" s="50"/>
      <x:c r="K31" s="50"/>
      <x:c r="L31" s="50"/>
      <x:c r="M31" s="50"/>
      <x:c r="N31" s="50"/>
      <x:c r="O31" s="50"/>
      <x:c r="P31" s="50"/>
      <x:c r="Q31" s="50"/>
      <x:c r="R31" s="50"/>
      <x:c r="S31" s="50"/>
      <x:c r="T31" s="50"/>
      <x:c r="U31" s="50"/>
      <x:c r="V31" s="50"/>
      <x:c r="W31" s="50"/>
      <x:c r="X31" s="50"/>
      <x:c r="Y31" s="50"/>
      <x:c r="Z31" s="50"/>
    </x:row>
    <x:row r="32">
      <x:c r="A32" s="50"/>
      <x:c r="B32" s="50"/>
      <x:c r="C32" s="50"/>
      <x:c r="D32" s="50"/>
      <x:c r="E32" s="50"/>
      <x:c r="F32" s="50"/>
      <x:c r="G32" s="50"/>
      <x:c r="H32" s="50"/>
      <x:c r="I32" s="50"/>
      <x:c r="J32" s="50"/>
      <x:c r="K32" s="50"/>
      <x:c r="L32" s="50"/>
      <x:c r="M32" s="50"/>
      <x:c r="N32" s="50"/>
      <x:c r="O32" s="50"/>
      <x:c r="P32" s="50"/>
      <x:c r="Q32" s="50"/>
      <x:c r="R32" s="50"/>
      <x:c r="S32" s="50"/>
      <x:c r="T32" s="50"/>
      <x:c r="U32" s="50"/>
      <x:c r="V32" s="50"/>
      <x:c r="W32" s="50"/>
      <x:c r="X32" s="50"/>
      <x:c r="Y32" s="50"/>
      <x:c r="Z32" s="50"/>
    </x:row>
    <x:row r="33">
      <x:c r="A33" s="50"/>
      <x:c r="B33" s="50"/>
      <x:c r="C33" s="50"/>
      <x:c r="D33" s="50"/>
      <x:c r="E33" s="50"/>
      <x:c r="F33" s="50"/>
      <x:c r="G33" s="50"/>
      <x:c r="H33" s="50"/>
      <x:c r="I33" s="50"/>
      <x:c r="J33" s="50"/>
      <x:c r="K33" s="50"/>
      <x:c r="L33" s="50"/>
      <x:c r="M33" s="50"/>
      <x:c r="N33" s="50"/>
      <x:c r="O33" s="50"/>
      <x:c r="P33" s="50"/>
      <x:c r="Q33" s="50"/>
      <x:c r="R33" s="50"/>
      <x:c r="S33" s="50"/>
      <x:c r="T33" s="50"/>
      <x:c r="U33" s="50"/>
      <x:c r="V33" s="50"/>
      <x:c r="W33" s="50"/>
      <x:c r="X33" s="50"/>
      <x:c r="Y33" s="50"/>
      <x:c r="Z33" s="50"/>
    </x:row>
    <x:row r="34">
      <x:c r="A34" s="50"/>
      <x:c r="B34" s="50"/>
      <x:c r="C34" s="50"/>
      <x:c r="D34" s="50"/>
      <x:c r="E34" s="50"/>
      <x:c r="F34" s="50"/>
      <x:c r="G34" s="50"/>
      <x:c r="H34" s="50"/>
      <x:c r="I34" s="50"/>
      <x:c r="J34" s="50"/>
      <x:c r="K34" s="50"/>
      <x:c r="L34" s="50"/>
      <x:c r="M34" s="50"/>
      <x:c r="N34" s="50"/>
      <x:c r="O34" s="50"/>
      <x:c r="P34" s="50"/>
      <x:c r="Q34" s="50"/>
      <x:c r="R34" s="50"/>
      <x:c r="S34" s="50"/>
      <x:c r="T34" s="50"/>
      <x:c r="U34" s="50"/>
      <x:c r="V34" s="50"/>
      <x:c r="W34" s="50"/>
      <x:c r="X34" s="50"/>
      <x:c r="Y34" s="50"/>
      <x:c r="Z34" s="50"/>
    </x:row>
    <x:row r="35">
      <x:c r="A35" s="50"/>
      <x:c r="B35" s="50"/>
      <x:c r="C35" s="50"/>
      <x:c r="D35" s="50"/>
      <x:c r="E35" s="50"/>
      <x:c r="F35" s="50"/>
      <x:c r="G35" s="50"/>
      <x:c r="H35" s="50"/>
      <x:c r="I35" s="50"/>
      <x:c r="J35" s="50"/>
      <x:c r="K35" s="50"/>
      <x:c r="L35" s="50"/>
      <x:c r="M35" s="50"/>
      <x:c r="N35" s="50"/>
      <x:c r="O35" s="50"/>
      <x:c r="P35" s="50"/>
      <x:c r="Q35" s="50"/>
      <x:c r="R35" s="50"/>
      <x:c r="S35" s="50"/>
      <x:c r="T35" s="50"/>
      <x:c r="U35" s="50"/>
      <x:c r="V35" s="50"/>
      <x:c r="W35" s="50"/>
      <x:c r="X35" s="50"/>
      <x:c r="Y35" s="50"/>
      <x:c r="Z35" s="50"/>
    </x:row>
    <x:row r="36">
      <x:c r="A36" s="50"/>
      <x:c r="B36" s="50"/>
      <x:c r="C36" s="50"/>
      <x:c r="D36" s="50"/>
      <x:c r="E36" s="50"/>
      <x:c r="F36" s="50"/>
      <x:c r="G36" s="50"/>
      <x:c r="H36" s="50"/>
      <x:c r="I36" s="50"/>
      <x:c r="J36" s="50"/>
      <x:c r="K36" s="50"/>
      <x:c r="L36" s="50"/>
      <x:c r="M36" s="50"/>
      <x:c r="N36" s="50"/>
      <x:c r="O36" s="50"/>
      <x:c r="P36" s="50"/>
      <x:c r="Q36" s="50"/>
      <x:c r="R36" s="50"/>
      <x:c r="S36" s="50"/>
      <x:c r="T36" s="50"/>
      <x:c r="U36" s="50"/>
      <x:c r="V36" s="50"/>
      <x:c r="W36" s="50"/>
      <x:c r="X36" s="50"/>
      <x:c r="Y36" s="50"/>
      <x:c r="Z36" s="50"/>
    </x:row>
    <x:row r="37">
      <x:c r="A37" s="50"/>
      <x:c r="B37" s="50"/>
      <x:c r="C37" s="50"/>
      <x:c r="D37" s="50"/>
      <x:c r="E37" s="50"/>
      <x:c r="F37" s="50"/>
      <x:c r="G37" s="50"/>
      <x:c r="H37" s="50"/>
      <x:c r="I37" s="50"/>
      <x:c r="J37" s="50"/>
      <x:c r="K37" s="50"/>
      <x:c r="L37" s="50"/>
      <x:c r="M37" s="50"/>
      <x:c r="N37" s="50"/>
      <x:c r="O37" s="50"/>
      <x:c r="P37" s="50"/>
      <x:c r="Q37" s="50"/>
      <x:c r="R37" s="50"/>
      <x:c r="S37" s="50"/>
      <x:c r="T37" s="50"/>
      <x:c r="U37" s="50"/>
      <x:c r="V37" s="50"/>
      <x:c r="W37" s="50"/>
      <x:c r="X37" s="50"/>
      <x:c r="Y37" s="50"/>
      <x:c r="Z37" s="50"/>
    </x:row>
    <x:row r="38">
      <x:c r="A38" s="50"/>
      <x:c r="B38" s="50"/>
      <x:c r="C38" s="50"/>
      <x:c r="D38" s="50"/>
      <x:c r="E38" s="50"/>
      <x:c r="F38" s="50"/>
      <x:c r="G38" s="50"/>
      <x:c r="H38" s="50"/>
      <x:c r="I38" s="50"/>
      <x:c r="J38" s="50"/>
      <x:c r="K38" s="50"/>
      <x:c r="L38" s="50"/>
      <x:c r="M38" s="50"/>
      <x:c r="N38" s="50"/>
      <x:c r="O38" s="50"/>
      <x:c r="P38" s="50"/>
      <x:c r="Q38" s="50"/>
      <x:c r="R38" s="50"/>
      <x:c r="S38" s="50"/>
      <x:c r="T38" s="50"/>
      <x:c r="U38" s="50"/>
      <x:c r="V38" s="50"/>
      <x:c r="W38" s="50"/>
      <x:c r="X38" s="50"/>
      <x:c r="Y38" s="50"/>
      <x:c r="Z38" s="50"/>
    </x:row>
    <x:row r="39">
      <x:c r="A39" s="50"/>
      <x:c r="B39" s="50"/>
      <x:c r="C39" s="50"/>
      <x:c r="D39" s="50"/>
      <x:c r="E39" s="50"/>
      <x:c r="F39" s="50"/>
      <x:c r="G39" s="50"/>
      <x:c r="H39" s="50"/>
      <x:c r="I39" s="50"/>
      <x:c r="J39" s="50"/>
      <x:c r="K39" s="50"/>
      <x:c r="L39" s="50"/>
      <x:c r="M39" s="50"/>
      <x:c r="N39" s="50"/>
      <x:c r="O39" s="50"/>
      <x:c r="P39" s="50"/>
      <x:c r="Q39" s="50"/>
      <x:c r="R39" s="50"/>
      <x:c r="S39" s="50"/>
      <x:c r="T39" s="50"/>
      <x:c r="U39" s="50"/>
      <x:c r="V39" s="50"/>
      <x:c r="W39" s="50"/>
      <x:c r="X39" s="50"/>
      <x:c r="Y39" s="50"/>
      <x:c r="Z39" s="50"/>
    </x:row>
    <x:row r="40">
      <x:c r="A40" s="50"/>
      <x:c r="B40" s="50"/>
      <x:c r="C40" s="50"/>
      <x:c r="D40" s="50"/>
      <x:c r="E40" s="50"/>
      <x:c r="F40" s="50"/>
      <x:c r="G40" s="50"/>
      <x:c r="H40" s="50"/>
      <x:c r="I40" s="50"/>
      <x:c r="J40" s="50"/>
      <x:c r="K40" s="50"/>
      <x:c r="L40" s="50"/>
      <x:c r="M40" s="50"/>
      <x:c r="N40" s="50"/>
      <x:c r="O40" s="50"/>
      <x:c r="P40" s="50"/>
      <x:c r="Q40" s="50"/>
      <x:c r="R40" s="50"/>
      <x:c r="S40" s="50"/>
      <x:c r="T40" s="50"/>
      <x:c r="U40" s="50"/>
      <x:c r="V40" s="50"/>
      <x:c r="W40" s="50"/>
      <x:c r="X40" s="50"/>
      <x:c r="Y40" s="50"/>
      <x:c r="Z40" s="50"/>
    </x:row>
    <x:row r="41">
      <x:c r="A41" s="50"/>
      <x:c r="B41" s="50"/>
      <x:c r="C41" s="50"/>
      <x:c r="D41" s="50"/>
      <x:c r="E41" s="50"/>
      <x:c r="F41" s="50"/>
      <x:c r="G41" s="50"/>
      <x:c r="H41" s="50"/>
      <x:c r="I41" s="50"/>
      <x:c r="J41" s="50"/>
      <x:c r="K41" s="50"/>
      <x:c r="L41" s="50"/>
      <x:c r="M41" s="50"/>
      <x:c r="N41" s="50"/>
      <x:c r="O41" s="50"/>
      <x:c r="P41" s="50"/>
      <x:c r="Q41" s="50"/>
      <x:c r="R41" s="50"/>
      <x:c r="S41" s="50"/>
      <x:c r="T41" s="50"/>
      <x:c r="U41" s="50"/>
      <x:c r="V41" s="50"/>
      <x:c r="W41" s="50"/>
      <x:c r="X41" s="50"/>
      <x:c r="Y41" s="50"/>
      <x:c r="Z41" s="50"/>
    </x:row>
    <x:row r="42">
      <x:c r="A42" s="50"/>
      <x:c r="B42" s="50"/>
      <x:c r="C42" s="50"/>
      <x:c r="D42" s="50"/>
      <x:c r="E42" s="50"/>
      <x:c r="F42" s="50"/>
      <x:c r="G42" s="50"/>
      <x:c r="H42" s="50"/>
      <x:c r="I42" s="50"/>
      <x:c r="J42" s="50"/>
      <x:c r="K42" s="50"/>
      <x:c r="L42" s="50"/>
      <x:c r="M42" s="50"/>
      <x:c r="N42" s="50"/>
      <x:c r="O42" s="50"/>
      <x:c r="P42" s="50"/>
      <x:c r="Q42" s="50"/>
      <x:c r="R42" s="50"/>
      <x:c r="S42" s="50"/>
      <x:c r="T42" s="50"/>
      <x:c r="U42" s="50"/>
      <x:c r="V42" s="50"/>
      <x:c r="W42" s="50"/>
      <x:c r="X42" s="50"/>
      <x:c r="Y42" s="50"/>
      <x:c r="Z42" s="50"/>
    </x:row>
    <x:row r="43">
      <x:c r="A43" s="50"/>
      <x:c r="B43" s="50"/>
      <x:c r="C43" s="50"/>
      <x:c r="D43" s="50"/>
      <x:c r="E43" s="50"/>
      <x:c r="F43" s="50"/>
      <x:c r="G43" s="50"/>
      <x:c r="H43" s="50"/>
      <x:c r="I43" s="50"/>
      <x:c r="J43" s="50"/>
      <x:c r="K43" s="50"/>
      <x:c r="L43" s="50"/>
      <x:c r="M43" s="50"/>
      <x:c r="N43" s="50"/>
      <x:c r="O43" s="50"/>
      <x:c r="P43" s="50"/>
      <x:c r="Q43" s="50"/>
      <x:c r="R43" s="50"/>
      <x:c r="S43" s="50"/>
      <x:c r="T43" s="50"/>
      <x:c r="U43" s="50"/>
      <x:c r="V43" s="50"/>
      <x:c r="W43" s="50"/>
      <x:c r="X43" s="50"/>
      <x:c r="Y43" s="50"/>
      <x:c r="Z43" s="50"/>
    </x:row>
    <x:row r="44">
      <x:c r="A44" s="50"/>
      <x:c r="B44" s="50"/>
      <x:c r="C44" s="50"/>
      <x:c r="D44" s="50"/>
      <x:c r="E44" s="50"/>
      <x:c r="F44" s="50"/>
      <x:c r="G44" s="50"/>
      <x:c r="H44" s="50"/>
      <x:c r="I44" s="50"/>
      <x:c r="J44" s="50"/>
      <x:c r="K44" s="50"/>
      <x:c r="L44" s="50"/>
      <x:c r="M44" s="50"/>
      <x:c r="N44" s="50"/>
      <x:c r="O44" s="50"/>
      <x:c r="P44" s="50"/>
      <x:c r="Q44" s="50"/>
      <x:c r="R44" s="50"/>
      <x:c r="S44" s="50"/>
      <x:c r="T44" s="50"/>
      <x:c r="U44" s="50"/>
      <x:c r="V44" s="50"/>
      <x:c r="W44" s="50"/>
      <x:c r="X44" s="50"/>
      <x:c r="Y44" s="50"/>
      <x:c r="Z44" s="50"/>
    </x:row>
    <x:row r="45">
      <x:c r="A45" s="50"/>
      <x:c r="B45" s="50"/>
      <x:c r="C45" s="50"/>
      <x:c r="D45" s="50"/>
      <x:c r="E45" s="50"/>
      <x:c r="F45" s="50"/>
      <x:c r="G45" s="50"/>
      <x:c r="H45" s="50"/>
      <x:c r="I45" s="50"/>
      <x:c r="J45" s="50"/>
      <x:c r="K45" s="50"/>
      <x:c r="L45" s="50"/>
      <x:c r="M45" s="50"/>
      <x:c r="N45" s="50"/>
      <x:c r="O45" s="50"/>
      <x:c r="P45" s="50"/>
      <x:c r="Q45" s="50"/>
      <x:c r="R45" s="50"/>
      <x:c r="S45" s="50"/>
      <x:c r="T45" s="50"/>
      <x:c r="U45" s="50"/>
      <x:c r="V45" s="50"/>
      <x:c r="W45" s="50"/>
      <x:c r="X45" s="50"/>
      <x:c r="Y45" s="50"/>
      <x:c r="Z45" s="50"/>
    </x:row>
    <x:row r="46">
      <x:c r="A46" s="50"/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  <x:c r="O46" s="50"/>
      <x:c r="P46" s="50"/>
      <x:c r="Q46" s="50"/>
      <x:c r="R46" s="50"/>
      <x:c r="S46" s="50"/>
      <x:c r="T46" s="50"/>
      <x:c r="U46" s="50"/>
      <x:c r="V46" s="50"/>
      <x:c r="W46" s="50"/>
      <x:c r="X46" s="50"/>
      <x:c r="Y46" s="50"/>
      <x:c r="Z46" s="50"/>
    </x:row>
    <x:row r="47">
      <x:c r="A47" s="50"/>
      <x:c r="B47" s="50"/>
      <x:c r="C47" s="50"/>
      <x:c r="D47" s="50"/>
      <x:c r="E47" s="50"/>
      <x:c r="F47" s="50"/>
      <x:c r="G47" s="50"/>
      <x:c r="H47" s="50"/>
      <x:c r="I47" s="50"/>
      <x:c r="J47" s="50"/>
      <x:c r="K47" s="50"/>
      <x:c r="L47" s="50"/>
      <x:c r="M47" s="50"/>
      <x:c r="N47" s="50"/>
      <x:c r="O47" s="50"/>
      <x:c r="P47" s="50"/>
      <x:c r="Q47" s="50"/>
      <x:c r="R47" s="50"/>
      <x:c r="S47" s="50"/>
      <x:c r="T47" s="50"/>
      <x:c r="U47" s="50"/>
      <x:c r="V47" s="50"/>
      <x:c r="W47" s="50"/>
      <x:c r="X47" s="50"/>
      <x:c r="Y47" s="50"/>
      <x:c r="Z47" s="50"/>
    </x:row>
    <x:row r="48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  <x:c r="O48" s="50"/>
      <x:c r="P48" s="50"/>
      <x:c r="Q48" s="50"/>
      <x:c r="R48" s="50"/>
      <x:c r="S48" s="50"/>
      <x:c r="T48" s="50"/>
      <x:c r="U48" s="50"/>
      <x:c r="V48" s="50"/>
      <x:c r="W48" s="50"/>
      <x:c r="X48" s="50"/>
      <x:c r="Y48" s="50"/>
      <x:c r="Z48" s="50"/>
    </x:row>
    <x:row r="49">
      <x:c r="A49" s="50"/>
      <x:c r="B49" s="50"/>
      <x:c r="C49" s="50"/>
      <x:c r="D49" s="50"/>
      <x:c r="E49" s="50"/>
      <x:c r="F49" s="50"/>
      <x:c r="G49" s="50"/>
      <x:c r="H49" s="50"/>
      <x:c r="I49" s="50"/>
      <x:c r="J49" s="50"/>
      <x:c r="K49" s="50"/>
      <x:c r="L49" s="50"/>
      <x:c r="M49" s="50"/>
      <x:c r="N49" s="50"/>
      <x:c r="O49" s="50"/>
      <x:c r="P49" s="50"/>
      <x:c r="Q49" s="50"/>
      <x:c r="R49" s="50"/>
      <x:c r="S49" s="50"/>
      <x:c r="T49" s="50"/>
      <x:c r="U49" s="50"/>
      <x:c r="V49" s="50"/>
      <x:c r="W49" s="50"/>
      <x:c r="X49" s="50"/>
      <x:c r="Y49" s="50"/>
      <x:c r="Z49" s="50"/>
    </x:row>
    <x:row r="50">
      <x:c r="A50" s="50"/>
      <x:c r="B50" s="50"/>
      <x:c r="C50" s="50"/>
      <x:c r="D50" s="50"/>
      <x:c r="E50" s="50"/>
      <x:c r="F50" s="50"/>
      <x:c r="G50" s="50"/>
      <x:c r="H50" s="50"/>
      <x:c r="I50" s="50"/>
      <x:c r="J50" s="50"/>
      <x:c r="K50" s="50"/>
      <x:c r="L50" s="50"/>
      <x:c r="M50" s="50"/>
      <x:c r="N50" s="50"/>
      <x:c r="O50" s="50"/>
      <x:c r="P50" s="50"/>
      <x:c r="Q50" s="50"/>
      <x:c r="R50" s="50"/>
      <x:c r="S50" s="50"/>
      <x:c r="T50" s="50"/>
      <x:c r="U50" s="50"/>
      <x:c r="V50" s="50"/>
      <x:c r="W50" s="50"/>
      <x:c r="X50" s="50"/>
      <x:c r="Y50" s="50"/>
      <x:c r="Z50" s="50"/>
    </x:row>
    <x:row r="51">
      <x:c r="A51" s="50"/>
      <x:c r="B51" s="50"/>
      <x:c r="C51" s="50"/>
      <x:c r="D51" s="50"/>
      <x:c r="E51" s="50"/>
      <x:c r="F51" s="50"/>
      <x:c r="G51" s="50"/>
      <x:c r="H51" s="50"/>
      <x:c r="I51" s="50"/>
      <x:c r="J51" s="50"/>
      <x:c r="K51" s="50"/>
      <x:c r="L51" s="50"/>
      <x:c r="M51" s="50"/>
      <x:c r="N51" s="50"/>
      <x:c r="O51" s="50"/>
      <x:c r="P51" s="50"/>
      <x:c r="Q51" s="50"/>
      <x:c r="R51" s="50"/>
      <x:c r="S51" s="50"/>
      <x:c r="T51" s="50"/>
      <x:c r="U51" s="50"/>
      <x:c r="V51" s="50"/>
      <x:c r="W51" s="50"/>
      <x:c r="X51" s="50"/>
      <x:c r="Y51" s="50"/>
      <x:c r="Z51" s="50"/>
    </x:row>
    <x:row r="52">
      <x:c r="A52" s="50"/>
      <x:c r="B52" s="50"/>
      <x:c r="C52" s="50"/>
      <x:c r="D52" s="50"/>
      <x:c r="E52" s="50"/>
      <x:c r="F52" s="50"/>
      <x:c r="G52" s="50"/>
      <x:c r="H52" s="50"/>
      <x:c r="I52" s="50"/>
      <x:c r="J52" s="50"/>
      <x:c r="K52" s="50"/>
      <x:c r="L52" s="50"/>
      <x:c r="M52" s="50"/>
      <x:c r="N52" s="50"/>
      <x:c r="O52" s="50"/>
      <x:c r="P52" s="50"/>
      <x:c r="Q52" s="50"/>
      <x:c r="R52" s="50"/>
      <x:c r="S52" s="50"/>
      <x:c r="T52" s="50"/>
      <x:c r="U52" s="50"/>
      <x:c r="V52" s="50"/>
      <x:c r="W52" s="50"/>
      <x:c r="X52" s="50"/>
      <x:c r="Y52" s="50"/>
      <x:c r="Z52" s="50"/>
    </x:row>
    <x:row r="53">
      <x:c r="A53" s="50"/>
      <x:c r="B53" s="50"/>
      <x:c r="C53" s="50"/>
      <x:c r="D53" s="50"/>
      <x:c r="E53" s="50"/>
      <x:c r="F53" s="50"/>
      <x:c r="G53" s="50"/>
      <x:c r="H53" s="50"/>
      <x:c r="I53" s="50"/>
      <x:c r="J53" s="50"/>
      <x:c r="K53" s="50"/>
      <x:c r="L53" s="50"/>
      <x:c r="M53" s="50"/>
      <x:c r="N53" s="50"/>
      <x:c r="O53" s="50"/>
      <x:c r="P53" s="50"/>
      <x:c r="Q53" s="50"/>
      <x:c r="R53" s="50"/>
      <x:c r="S53" s="50"/>
      <x:c r="T53" s="50"/>
      <x:c r="U53" s="50"/>
      <x:c r="V53" s="50"/>
      <x:c r="W53" s="50"/>
      <x:c r="X53" s="50"/>
      <x:c r="Y53" s="50"/>
      <x:c r="Z53" s="50"/>
    </x:row>
    <x:row r="54">
      <x:c r="A54" s="50"/>
      <x:c r="B54" s="50"/>
      <x:c r="C54" s="50"/>
      <x:c r="D54" s="50"/>
      <x:c r="E54" s="50"/>
      <x:c r="F54" s="50"/>
      <x:c r="G54" s="50"/>
      <x:c r="H54" s="50"/>
      <x:c r="I54" s="50"/>
      <x:c r="J54" s="50"/>
      <x:c r="K54" s="50"/>
      <x:c r="L54" s="50"/>
      <x:c r="M54" s="50"/>
      <x:c r="N54" s="50"/>
      <x:c r="O54" s="50"/>
      <x:c r="P54" s="50"/>
      <x:c r="Q54" s="50"/>
      <x:c r="R54" s="50"/>
      <x:c r="S54" s="50"/>
      <x:c r="T54" s="50"/>
      <x:c r="U54" s="50"/>
      <x:c r="V54" s="50"/>
      <x:c r="W54" s="50"/>
      <x:c r="X54" s="50"/>
      <x:c r="Y54" s="50"/>
      <x:c r="Z54" s="50"/>
    </x:row>
    <x:row r="55">
      <x:c r="A55" s="50"/>
      <x:c r="B55" s="50"/>
      <x:c r="C55" s="50"/>
      <x:c r="D55" s="50"/>
      <x:c r="E55" s="50"/>
      <x:c r="F55" s="50"/>
      <x:c r="G55" s="50"/>
      <x:c r="H55" s="50"/>
      <x:c r="I55" s="50"/>
      <x:c r="J55" s="50"/>
      <x:c r="K55" s="50"/>
      <x:c r="L55" s="50"/>
      <x:c r="M55" s="50"/>
      <x:c r="N55" s="50"/>
      <x:c r="O55" s="50"/>
      <x:c r="P55" s="50"/>
      <x:c r="Q55" s="50"/>
      <x:c r="R55" s="50"/>
      <x:c r="S55" s="50"/>
      <x:c r="T55" s="50"/>
      <x:c r="U55" s="50"/>
      <x:c r="V55" s="50"/>
      <x:c r="W55" s="50"/>
      <x:c r="X55" s="50"/>
      <x:c r="Y55" s="50"/>
      <x:c r="Z55" s="50"/>
    </x:row>
    <x:row r="56">
      <x:c r="A56" s="50"/>
      <x:c r="B56" s="50"/>
      <x:c r="C56" s="50"/>
      <x:c r="D56" s="50"/>
      <x:c r="E56" s="50"/>
      <x:c r="F56" s="50"/>
      <x:c r="G56" s="50"/>
      <x:c r="H56" s="50"/>
      <x:c r="I56" s="50"/>
      <x:c r="J56" s="50"/>
      <x:c r="K56" s="50"/>
      <x:c r="L56" s="50"/>
      <x:c r="M56" s="50"/>
      <x:c r="N56" s="50"/>
      <x:c r="O56" s="50"/>
      <x:c r="P56" s="50"/>
      <x:c r="Q56" s="50"/>
      <x:c r="R56" s="50"/>
      <x:c r="S56" s="50"/>
      <x:c r="T56" s="50"/>
      <x:c r="U56" s="50"/>
      <x:c r="V56" s="50"/>
      <x:c r="W56" s="50"/>
      <x:c r="X56" s="50"/>
      <x:c r="Y56" s="50"/>
      <x:c r="Z56" s="50"/>
    </x:row>
    <x:row r="57">
      <x:c r="A57" s="50"/>
      <x:c r="B57" s="50"/>
      <x:c r="C57" s="50"/>
      <x:c r="D57" s="50"/>
      <x:c r="E57" s="50"/>
      <x:c r="F57" s="50"/>
      <x:c r="G57" s="50"/>
      <x:c r="H57" s="50"/>
      <x:c r="I57" s="50"/>
      <x:c r="J57" s="50"/>
      <x:c r="K57" s="50"/>
      <x:c r="L57" s="50"/>
      <x:c r="M57" s="50"/>
      <x:c r="N57" s="50"/>
      <x:c r="O57" s="50"/>
      <x:c r="P57" s="50"/>
      <x:c r="Q57" s="50"/>
      <x:c r="R57" s="50"/>
      <x:c r="S57" s="50"/>
      <x:c r="T57" s="50"/>
      <x:c r="U57" s="50"/>
      <x:c r="V57" s="50"/>
      <x:c r="W57" s="50"/>
      <x:c r="X57" s="50"/>
      <x:c r="Y57" s="50"/>
      <x:c r="Z57" s="50"/>
    </x:row>
    <x:row r="58">
      <x:c r="A58" s="50"/>
      <x:c r="B58" s="50"/>
      <x:c r="C58" s="50"/>
      <x:c r="D58" s="50"/>
      <x:c r="E58" s="50"/>
      <x:c r="F58" s="50"/>
      <x:c r="G58" s="50"/>
      <x:c r="H58" s="50"/>
      <x:c r="I58" s="50"/>
      <x:c r="J58" s="50"/>
      <x:c r="K58" s="50"/>
      <x:c r="L58" s="50"/>
      <x:c r="M58" s="50"/>
      <x:c r="N58" s="50"/>
      <x:c r="O58" s="50"/>
      <x:c r="P58" s="50"/>
      <x:c r="Q58" s="50"/>
      <x:c r="R58" s="50"/>
      <x:c r="S58" s="50"/>
      <x:c r="T58" s="50"/>
      <x:c r="U58" s="50"/>
      <x:c r="V58" s="50"/>
      <x:c r="W58" s="50"/>
      <x:c r="X58" s="50"/>
      <x:c r="Y58" s="50"/>
      <x:c r="Z58" s="50"/>
    </x:row>
    <x:row r="59">
      <x:c r="A59" s="50"/>
      <x:c r="B59" s="50"/>
      <x:c r="C59" s="50"/>
      <x:c r="D59" s="50"/>
      <x:c r="E59" s="50"/>
      <x:c r="F59" s="50"/>
      <x:c r="G59" s="50"/>
      <x:c r="H59" s="50"/>
      <x:c r="I59" s="50"/>
      <x:c r="J59" s="50"/>
      <x:c r="K59" s="50"/>
      <x:c r="L59" s="50"/>
      <x:c r="M59" s="50"/>
      <x:c r="N59" s="50"/>
      <x:c r="O59" s="50"/>
      <x:c r="P59" s="50"/>
      <x:c r="Q59" s="50"/>
      <x:c r="R59" s="50"/>
      <x:c r="S59" s="50"/>
      <x:c r="T59" s="50"/>
      <x:c r="U59" s="50"/>
      <x:c r="V59" s="50"/>
      <x:c r="W59" s="50"/>
      <x:c r="X59" s="50"/>
      <x:c r="Y59" s="50"/>
      <x:c r="Z59" s="50"/>
    </x:row>
    <x:row r="60">
      <x:c r="A60" s="50"/>
      <x:c r="B60" s="50"/>
      <x:c r="C60" s="50"/>
      <x:c r="D60" s="50"/>
      <x:c r="E60" s="50"/>
      <x:c r="F60" s="50"/>
      <x:c r="G60" s="50"/>
      <x:c r="H60" s="50"/>
      <x:c r="I60" s="50"/>
      <x:c r="J60" s="50"/>
      <x:c r="K60" s="50"/>
      <x:c r="L60" s="50"/>
      <x:c r="M60" s="50"/>
      <x:c r="N60" s="50"/>
      <x:c r="O60" s="50"/>
      <x:c r="P60" s="50"/>
      <x:c r="Q60" s="50"/>
      <x:c r="R60" s="50"/>
      <x:c r="S60" s="50"/>
      <x:c r="T60" s="50"/>
      <x:c r="U60" s="50"/>
      <x:c r="V60" s="50"/>
      <x:c r="W60" s="50"/>
      <x:c r="X60" s="50"/>
      <x:c r="Y60" s="50"/>
      <x:c r="Z60" s="50"/>
    </x:row>
    <x:row r="61">
      <x:c r="A61" s="50"/>
      <x:c r="B61" s="50"/>
      <x:c r="C61" s="50"/>
      <x:c r="D61" s="50"/>
      <x:c r="E61" s="50"/>
      <x:c r="F61" s="50"/>
      <x:c r="G61" s="50"/>
      <x:c r="H61" s="50"/>
      <x:c r="I61" s="50"/>
      <x:c r="J61" s="50"/>
      <x:c r="K61" s="50"/>
      <x:c r="L61" s="50"/>
      <x:c r="M61" s="50"/>
      <x:c r="N61" s="50"/>
      <x:c r="O61" s="50"/>
      <x:c r="P61" s="50"/>
      <x:c r="Q61" s="50"/>
      <x:c r="R61" s="50"/>
      <x:c r="S61" s="50"/>
      <x:c r="T61" s="50"/>
      <x:c r="U61" s="50"/>
      <x:c r="V61" s="50"/>
      <x:c r="W61" s="50"/>
      <x:c r="X61" s="50"/>
      <x:c r="Y61" s="50"/>
      <x:c r="Z61" s="50"/>
    </x:row>
    <x:row r="62">
      <x:c r="A62" s="50"/>
      <x:c r="B62" s="50"/>
      <x:c r="C62" s="50"/>
      <x:c r="D62" s="50"/>
      <x:c r="E62" s="50"/>
      <x:c r="F62" s="50"/>
      <x:c r="G62" s="50"/>
      <x:c r="H62" s="50"/>
      <x:c r="I62" s="50"/>
      <x:c r="J62" s="50"/>
      <x:c r="K62" s="50"/>
      <x:c r="L62" s="50"/>
      <x:c r="M62" s="50"/>
      <x:c r="N62" s="50"/>
      <x:c r="O62" s="50"/>
      <x:c r="P62" s="50"/>
      <x:c r="Q62" s="50"/>
      <x:c r="R62" s="50"/>
      <x:c r="S62" s="50"/>
      <x:c r="T62" s="50"/>
      <x:c r="U62" s="50"/>
      <x:c r="V62" s="50"/>
      <x:c r="W62" s="50"/>
      <x:c r="X62" s="50"/>
      <x:c r="Y62" s="50"/>
      <x:c r="Z62" s="50"/>
    </x:row>
    <x:row r="63">
      <x:c r="A63" s="50"/>
      <x:c r="B63" s="50"/>
      <x:c r="C63" s="50"/>
      <x:c r="D63" s="50"/>
      <x:c r="E63" s="50"/>
      <x:c r="F63" s="50"/>
      <x:c r="G63" s="50"/>
      <x:c r="H63" s="50"/>
      <x:c r="I63" s="50"/>
      <x:c r="J63" s="50"/>
      <x:c r="K63" s="50"/>
      <x:c r="L63" s="50"/>
      <x:c r="M63" s="50"/>
      <x:c r="N63" s="50"/>
      <x:c r="O63" s="50"/>
      <x:c r="P63" s="50"/>
      <x:c r="Q63" s="50"/>
      <x:c r="R63" s="50"/>
      <x:c r="S63" s="50"/>
      <x:c r="T63" s="50"/>
      <x:c r="U63" s="50"/>
      <x:c r="V63" s="50"/>
      <x:c r="W63" s="50"/>
      <x:c r="X63" s="50"/>
      <x:c r="Y63" s="50"/>
      <x:c r="Z63" s="50"/>
    </x:row>
    <x:row r="64">
      <x:c r="A64" s="50"/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  <x:c r="O64" s="50"/>
      <x:c r="P64" s="50"/>
      <x:c r="Q64" s="50"/>
      <x:c r="R64" s="50"/>
      <x:c r="S64" s="50"/>
      <x:c r="T64" s="50"/>
      <x:c r="U64" s="50"/>
      <x:c r="V64" s="50"/>
      <x:c r="W64" s="50"/>
      <x:c r="X64" s="50"/>
      <x:c r="Y64" s="50"/>
      <x:c r="Z64" s="50"/>
    </x:row>
    <x:row r="65">
      <x:c r="A65" s="50"/>
      <x:c r="B65" s="50"/>
      <x:c r="C65" s="50"/>
      <x:c r="D65" s="50"/>
      <x:c r="E65" s="50"/>
      <x:c r="F65" s="50"/>
      <x:c r="G65" s="50"/>
      <x:c r="H65" s="50"/>
      <x:c r="I65" s="50"/>
      <x:c r="J65" s="50"/>
      <x:c r="K65" s="50"/>
      <x:c r="L65" s="50"/>
      <x:c r="M65" s="50"/>
      <x:c r="N65" s="50"/>
      <x:c r="O65" s="50"/>
      <x:c r="P65" s="50"/>
      <x:c r="Q65" s="50"/>
      <x:c r="R65" s="50"/>
      <x:c r="S65" s="50"/>
      <x:c r="T65" s="50"/>
      <x:c r="U65" s="50"/>
      <x:c r="V65" s="50"/>
      <x:c r="W65" s="50"/>
      <x:c r="X65" s="50"/>
      <x:c r="Y65" s="50"/>
      <x:c r="Z65" s="50"/>
    </x:row>
    <x:row r="66">
      <x:c r="A66" s="50"/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  <x:c r="O66" s="50"/>
      <x:c r="P66" s="50"/>
      <x:c r="Q66" s="50"/>
      <x:c r="R66" s="50"/>
      <x:c r="S66" s="50"/>
      <x:c r="T66" s="50"/>
      <x:c r="U66" s="50"/>
      <x:c r="V66" s="50"/>
      <x:c r="W66" s="50"/>
      <x:c r="X66" s="50"/>
      <x:c r="Y66" s="50"/>
      <x:c r="Z66" s="50"/>
    </x:row>
    <x:row r="67">
      <x:c r="A67" s="50"/>
      <x:c r="B67" s="50"/>
      <x:c r="C67" s="50"/>
      <x:c r="D67" s="50"/>
      <x:c r="E67" s="50"/>
      <x:c r="F67" s="50"/>
      <x:c r="G67" s="50"/>
      <x:c r="H67" s="50"/>
      <x:c r="I67" s="50"/>
      <x:c r="J67" s="50"/>
      <x:c r="K67" s="50"/>
      <x:c r="L67" s="50"/>
      <x:c r="M67" s="50"/>
      <x:c r="N67" s="50"/>
      <x:c r="O67" s="50"/>
      <x:c r="P67" s="50"/>
      <x:c r="Q67" s="50"/>
      <x:c r="R67" s="50"/>
      <x:c r="S67" s="50"/>
      <x:c r="T67" s="50"/>
      <x:c r="U67" s="50"/>
      <x:c r="V67" s="50"/>
      <x:c r="W67" s="50"/>
      <x:c r="X67" s="50"/>
      <x:c r="Y67" s="50"/>
      <x:c r="Z67" s="50"/>
    </x:row>
    <x:row r="68">
      <x:c r="A68" s="50"/>
      <x:c r="B68" s="50"/>
      <x:c r="C68" s="50"/>
      <x:c r="D68" s="50"/>
      <x:c r="E68" s="50"/>
      <x:c r="F68" s="50"/>
      <x:c r="G68" s="50"/>
      <x:c r="H68" s="50"/>
      <x:c r="I68" s="50"/>
      <x:c r="J68" s="50"/>
      <x:c r="K68" s="50"/>
      <x:c r="L68" s="50"/>
      <x:c r="M68" s="50"/>
      <x:c r="N68" s="50"/>
      <x:c r="O68" s="50"/>
      <x:c r="P68" s="50"/>
      <x:c r="Q68" s="50"/>
      <x:c r="R68" s="50"/>
      <x:c r="S68" s="50"/>
      <x:c r="T68" s="50"/>
      <x:c r="U68" s="50"/>
      <x:c r="V68" s="50"/>
      <x:c r="W68" s="50"/>
      <x:c r="X68" s="50"/>
      <x:c r="Y68" s="50"/>
      <x:c r="Z68" s="50"/>
    </x:row>
    <x:row r="69">
      <x:c r="A69" s="50"/>
      <x:c r="B69" s="50"/>
      <x:c r="C69" s="50"/>
      <x:c r="D69" s="50"/>
      <x:c r="E69" s="50"/>
      <x:c r="F69" s="50"/>
      <x:c r="G69" s="50"/>
      <x:c r="H69" s="50"/>
      <x:c r="I69" s="50"/>
      <x:c r="J69" s="50"/>
      <x:c r="K69" s="50"/>
      <x:c r="L69" s="50"/>
      <x:c r="M69" s="50"/>
      <x:c r="N69" s="50"/>
      <x:c r="O69" s="50"/>
      <x:c r="P69" s="50"/>
      <x:c r="Q69" s="50"/>
      <x:c r="R69" s="50"/>
      <x:c r="S69" s="50"/>
      <x:c r="T69" s="50"/>
      <x:c r="U69" s="50"/>
      <x:c r="V69" s="50"/>
      <x:c r="W69" s="50"/>
      <x:c r="X69" s="50"/>
      <x:c r="Y69" s="50"/>
      <x:c r="Z69" s="50"/>
    </x:row>
    <x:row r="70">
      <x:c r="A70" s="50"/>
      <x:c r="B70" s="50"/>
      <x:c r="C70" s="50"/>
      <x:c r="D70" s="50"/>
      <x:c r="E70" s="50"/>
      <x:c r="F70" s="50"/>
      <x:c r="G70" s="50"/>
      <x:c r="H70" s="50"/>
      <x:c r="I70" s="50"/>
      <x:c r="J70" s="50"/>
      <x:c r="K70" s="50"/>
      <x:c r="L70" s="50"/>
      <x:c r="M70" s="50"/>
      <x:c r="N70" s="50"/>
      <x:c r="O70" s="50"/>
      <x:c r="P70" s="50"/>
      <x:c r="Q70" s="50"/>
      <x:c r="R70" s="50"/>
      <x:c r="S70" s="50"/>
      <x:c r="T70" s="50"/>
      <x:c r="U70" s="50"/>
      <x:c r="V70" s="50"/>
      <x:c r="W70" s="50"/>
      <x:c r="X70" s="50"/>
      <x:c r="Y70" s="50"/>
      <x:c r="Z70" s="50"/>
    </x:row>
    <x:row r="71">
      <x:c r="A71" s="50"/>
      <x:c r="B71" s="50"/>
      <x:c r="C71" s="50"/>
      <x:c r="D71" s="50"/>
      <x:c r="E71" s="50"/>
      <x:c r="F71" s="50"/>
      <x:c r="G71" s="50"/>
      <x:c r="H71" s="50"/>
      <x:c r="I71" s="50"/>
      <x:c r="J71" s="50"/>
      <x:c r="K71" s="50"/>
      <x:c r="L71" s="50"/>
      <x:c r="M71" s="50"/>
      <x:c r="N71" s="50"/>
      <x:c r="O71" s="50"/>
      <x:c r="P71" s="50"/>
      <x:c r="Q71" s="50"/>
      <x:c r="R71" s="50"/>
      <x:c r="S71" s="50"/>
      <x:c r="T71" s="50"/>
      <x:c r="U71" s="50"/>
      <x:c r="V71" s="50"/>
      <x:c r="W71" s="50"/>
      <x:c r="X71" s="50"/>
      <x:c r="Y71" s="50"/>
      <x:c r="Z71" s="50"/>
    </x:row>
    <x:row r="72">
      <x:c r="A72" s="50"/>
      <x:c r="B72" s="50"/>
      <x:c r="C72" s="50"/>
      <x:c r="D72" s="50"/>
      <x:c r="E72" s="50"/>
      <x:c r="F72" s="50"/>
      <x:c r="G72" s="50"/>
      <x:c r="H72" s="50"/>
      <x:c r="I72" s="50"/>
      <x:c r="J72" s="50"/>
      <x:c r="K72" s="50"/>
      <x:c r="L72" s="50"/>
      <x:c r="M72" s="50"/>
      <x:c r="N72" s="50"/>
      <x:c r="O72" s="50"/>
      <x:c r="P72" s="50"/>
      <x:c r="Q72" s="50"/>
      <x:c r="R72" s="50"/>
      <x:c r="S72" s="50"/>
      <x:c r="T72" s="50"/>
      <x:c r="U72" s="50"/>
      <x:c r="V72" s="50"/>
      <x:c r="W72" s="50"/>
      <x:c r="X72" s="50"/>
      <x:c r="Y72" s="50"/>
      <x:c r="Z72" s="50"/>
    </x:row>
    <x:row r="73">
      <x:c r="A73" s="50"/>
      <x:c r="B73" s="50"/>
      <x:c r="C73" s="50"/>
      <x:c r="D73" s="50"/>
      <x:c r="E73" s="50"/>
      <x:c r="F73" s="50"/>
      <x:c r="G73" s="50"/>
      <x:c r="H73" s="50"/>
      <x:c r="I73" s="50"/>
      <x:c r="J73" s="50"/>
      <x:c r="K73" s="50"/>
      <x:c r="L73" s="50"/>
      <x:c r="M73" s="50"/>
      <x:c r="N73" s="50"/>
      <x:c r="O73" s="50"/>
      <x:c r="P73" s="50"/>
      <x:c r="Q73" s="50"/>
      <x:c r="R73" s="50"/>
      <x:c r="S73" s="50"/>
      <x:c r="T73" s="50"/>
      <x:c r="U73" s="50"/>
      <x:c r="V73" s="50"/>
      <x:c r="W73" s="50"/>
      <x:c r="X73" s="50"/>
      <x:c r="Y73" s="50"/>
      <x:c r="Z73" s="50"/>
    </x:row>
    <x:row r="74">
      <x:c r="A74" s="50"/>
      <x:c r="B74" s="50"/>
      <x:c r="C74" s="50"/>
      <x:c r="D74" s="50"/>
      <x:c r="E74" s="50"/>
      <x:c r="F74" s="50"/>
      <x:c r="G74" s="50"/>
      <x:c r="H74" s="50"/>
      <x:c r="I74" s="50"/>
      <x:c r="J74" s="50"/>
      <x:c r="K74" s="50"/>
      <x:c r="L74" s="50"/>
      <x:c r="M74" s="50"/>
      <x:c r="N74" s="50"/>
      <x:c r="O74" s="50"/>
      <x:c r="P74" s="50"/>
      <x:c r="Q74" s="50"/>
      <x:c r="R74" s="50"/>
      <x:c r="S74" s="50"/>
      <x:c r="T74" s="50"/>
      <x:c r="U74" s="50"/>
      <x:c r="V74" s="50"/>
      <x:c r="W74" s="50"/>
      <x:c r="X74" s="50"/>
      <x:c r="Y74" s="50"/>
      <x:c r="Z74" s="50"/>
    </x:row>
    <x:row r="75">
      <x:c r="A75" s="50"/>
      <x:c r="B75" s="50"/>
      <x:c r="C75" s="50"/>
      <x:c r="D75" s="50"/>
      <x:c r="E75" s="50"/>
      <x:c r="F75" s="50"/>
      <x:c r="G75" s="50"/>
      <x:c r="H75" s="50"/>
      <x:c r="I75" s="50"/>
      <x:c r="J75" s="50"/>
      <x:c r="K75" s="50"/>
      <x:c r="L75" s="50"/>
      <x:c r="M75" s="50"/>
      <x:c r="N75" s="50"/>
      <x:c r="O75" s="50"/>
      <x:c r="P75" s="50"/>
      <x:c r="Q75" s="50"/>
      <x:c r="R75" s="50"/>
      <x:c r="S75" s="50"/>
      <x:c r="T75" s="50"/>
      <x:c r="U75" s="50"/>
      <x:c r="V75" s="50"/>
      <x:c r="W75" s="50"/>
      <x:c r="X75" s="50"/>
      <x:c r="Y75" s="50"/>
      <x:c r="Z75" s="50"/>
    </x:row>
    <x:row r="76">
      <x:c r="A76" s="50"/>
      <x:c r="B76" s="50"/>
      <x:c r="C76" s="50"/>
      <x:c r="D76" s="50"/>
      <x:c r="E76" s="50"/>
      <x:c r="F76" s="50"/>
      <x:c r="G76" s="50"/>
      <x:c r="H76" s="50"/>
      <x:c r="I76" s="50"/>
      <x:c r="J76" s="50"/>
      <x:c r="K76" s="50"/>
      <x:c r="L76" s="50"/>
      <x:c r="M76" s="50"/>
      <x:c r="N76" s="50"/>
      <x:c r="O76" s="50"/>
      <x:c r="P76" s="50"/>
      <x:c r="Q76" s="50"/>
      <x:c r="R76" s="50"/>
      <x:c r="S76" s="50"/>
      <x:c r="T76" s="50"/>
      <x:c r="U76" s="50"/>
      <x:c r="V76" s="50"/>
      <x:c r="W76" s="50"/>
      <x:c r="X76" s="50"/>
      <x:c r="Y76" s="50"/>
      <x:c r="Z76" s="50"/>
    </x:row>
    <x:row r="77">
      <x:c r="A77" s="50"/>
      <x:c r="B77" s="50"/>
      <x:c r="C77" s="50"/>
      <x:c r="D77" s="50"/>
      <x:c r="E77" s="50"/>
      <x:c r="F77" s="50"/>
      <x:c r="G77" s="50"/>
      <x:c r="H77" s="50"/>
      <x:c r="I77" s="50"/>
      <x:c r="J77" s="50"/>
      <x:c r="K77" s="50"/>
      <x:c r="L77" s="50"/>
      <x:c r="M77" s="50"/>
      <x:c r="N77" s="50"/>
      <x:c r="O77" s="50"/>
      <x:c r="P77" s="50"/>
      <x:c r="Q77" s="50"/>
      <x:c r="R77" s="50"/>
      <x:c r="S77" s="50"/>
      <x:c r="T77" s="50"/>
      <x:c r="U77" s="50"/>
      <x:c r="V77" s="50"/>
      <x:c r="W77" s="50"/>
      <x:c r="X77" s="50"/>
      <x:c r="Y77" s="50"/>
      <x:c r="Z77" s="50"/>
    </x:row>
    <x:row r="78">
      <x:c r="A78" s="50"/>
      <x:c r="B78" s="50"/>
      <x:c r="C78" s="50"/>
      <x:c r="D78" s="50"/>
      <x:c r="E78" s="50"/>
      <x:c r="F78" s="50"/>
      <x:c r="G78" s="50"/>
      <x:c r="H78" s="50"/>
      <x:c r="I78" s="50"/>
      <x:c r="J78" s="50"/>
      <x:c r="K78" s="50"/>
      <x:c r="L78" s="50"/>
      <x:c r="M78" s="50"/>
      <x:c r="N78" s="50"/>
      <x:c r="O78" s="50"/>
      <x:c r="P78" s="50"/>
      <x:c r="Q78" s="50"/>
      <x:c r="R78" s="50"/>
      <x:c r="S78" s="50"/>
      <x:c r="T78" s="50"/>
      <x:c r="U78" s="50"/>
      <x:c r="V78" s="50"/>
      <x:c r="W78" s="50"/>
      <x:c r="X78" s="50"/>
      <x:c r="Y78" s="50"/>
      <x:c r="Z78" s="50"/>
    </x:row>
    <x:row r="79">
      <x:c r="A79" s="50"/>
      <x:c r="B79" s="50"/>
      <x:c r="C79" s="50"/>
      <x:c r="D79" s="50"/>
      <x:c r="E79" s="50"/>
      <x:c r="F79" s="50"/>
      <x:c r="G79" s="50"/>
      <x:c r="H79" s="50"/>
      <x:c r="I79" s="50"/>
      <x:c r="J79" s="50"/>
      <x:c r="K79" s="50"/>
      <x:c r="L79" s="50"/>
      <x:c r="M79" s="50"/>
      <x:c r="N79" s="50"/>
      <x:c r="O79" s="50"/>
      <x:c r="P79" s="50"/>
      <x:c r="Q79" s="50"/>
      <x:c r="R79" s="50"/>
      <x:c r="S79" s="50"/>
      <x:c r="T79" s="50"/>
      <x:c r="U79" s="50"/>
      <x:c r="V79" s="50"/>
      <x:c r="W79" s="50"/>
      <x:c r="X79" s="50"/>
      <x:c r="Y79" s="50"/>
      <x:c r="Z79" s="50"/>
    </x:row>
    <x:row r="80">
      <x:c r="A80" s="50"/>
      <x:c r="B80" s="50"/>
      <x:c r="C80" s="50"/>
      <x:c r="D80" s="50"/>
      <x:c r="E80" s="50"/>
      <x:c r="F80" s="50"/>
      <x:c r="G80" s="50"/>
      <x:c r="H80" s="50"/>
      <x:c r="I80" s="50"/>
      <x:c r="J80" s="50"/>
      <x:c r="K80" s="50"/>
      <x:c r="L80" s="50"/>
      <x:c r="M80" s="50"/>
      <x:c r="N80" s="50"/>
      <x:c r="O80" s="50"/>
      <x:c r="P80" s="50"/>
      <x:c r="Q80" s="50"/>
      <x:c r="R80" s="50"/>
      <x:c r="S80" s="50"/>
      <x:c r="T80" s="50"/>
      <x:c r="U80" s="50"/>
      <x:c r="V80" s="50"/>
      <x:c r="W80" s="50"/>
      <x:c r="X80" s="50"/>
      <x:c r="Y80" s="50"/>
      <x:c r="Z80" s="50"/>
    </x:row>
    <x:row r="81">
      <x:c r="A81" s="50"/>
      <x:c r="B81" s="50"/>
      <x:c r="C81" s="50"/>
      <x:c r="D81" s="50"/>
      <x:c r="E81" s="50"/>
      <x:c r="F81" s="50"/>
      <x:c r="G81" s="50"/>
      <x:c r="H81" s="50"/>
      <x:c r="I81" s="50"/>
      <x:c r="J81" s="50"/>
      <x:c r="K81" s="50"/>
      <x:c r="L81" s="50"/>
      <x:c r="M81" s="50"/>
      <x:c r="N81" s="50"/>
      <x:c r="O81" s="50"/>
      <x:c r="P81" s="50"/>
      <x:c r="Q81" s="50"/>
      <x:c r="R81" s="50"/>
      <x:c r="S81" s="50"/>
      <x:c r="T81" s="50"/>
      <x:c r="U81" s="50"/>
      <x:c r="V81" s="50"/>
      <x:c r="W81" s="50"/>
      <x:c r="X81" s="50"/>
      <x:c r="Y81" s="50"/>
      <x:c r="Z81" s="50"/>
    </x:row>
    <x:row r="82">
      <x:c r="A82" s="50"/>
      <x:c r="B82" s="50"/>
      <x:c r="C82" s="50"/>
      <x:c r="D82" s="50"/>
      <x:c r="E82" s="50"/>
      <x:c r="F82" s="50"/>
      <x:c r="G82" s="50"/>
      <x:c r="H82" s="50"/>
      <x:c r="I82" s="50"/>
      <x:c r="J82" s="50"/>
      <x:c r="K82" s="50"/>
      <x:c r="L82" s="50"/>
      <x:c r="M82" s="50"/>
      <x:c r="N82" s="50"/>
      <x:c r="O82" s="50"/>
      <x:c r="P82" s="50"/>
      <x:c r="Q82" s="50"/>
      <x:c r="R82" s="50"/>
      <x:c r="S82" s="50"/>
      <x:c r="T82" s="50"/>
      <x:c r="U82" s="50"/>
      <x:c r="V82" s="50"/>
      <x:c r="W82" s="50"/>
      <x:c r="X82" s="50"/>
      <x:c r="Y82" s="50"/>
      <x:c r="Z82" s="50"/>
    </x:row>
    <x:row r="83">
      <x:c r="A83" s="50"/>
      <x:c r="B83" s="50"/>
      <x:c r="C83" s="50"/>
      <x:c r="D83" s="50"/>
      <x:c r="E83" s="50"/>
      <x:c r="F83" s="50"/>
      <x:c r="G83" s="50"/>
      <x:c r="H83" s="50"/>
      <x:c r="I83" s="50"/>
      <x:c r="J83" s="50"/>
      <x:c r="K83" s="50"/>
      <x:c r="L83" s="50"/>
      <x:c r="M83" s="50"/>
      <x:c r="N83" s="50"/>
      <x:c r="O83" s="50"/>
      <x:c r="P83" s="50"/>
      <x:c r="Q83" s="50"/>
      <x:c r="R83" s="50"/>
      <x:c r="S83" s="50"/>
      <x:c r="T83" s="50"/>
      <x:c r="U83" s="50"/>
      <x:c r="V83" s="50"/>
      <x:c r="W83" s="50"/>
      <x:c r="X83" s="50"/>
      <x:c r="Y83" s="50"/>
      <x:c r="Z83" s="50"/>
    </x:row>
    <x:row r="84">
      <x:c r="A84" s="50"/>
      <x:c r="B84" s="50"/>
      <x:c r="C84" s="50"/>
      <x:c r="D84" s="50"/>
      <x:c r="E84" s="50"/>
      <x:c r="F84" s="50"/>
      <x:c r="G84" s="50"/>
      <x:c r="H84" s="50"/>
      <x:c r="I84" s="50"/>
      <x:c r="J84" s="50"/>
      <x:c r="K84" s="50"/>
      <x:c r="L84" s="50"/>
      <x:c r="M84" s="50"/>
      <x:c r="N84" s="50"/>
      <x:c r="O84" s="50"/>
      <x:c r="P84" s="50"/>
      <x:c r="Q84" s="50"/>
      <x:c r="R84" s="50"/>
      <x:c r="S84" s="50"/>
      <x:c r="T84" s="50"/>
      <x:c r="U84" s="50"/>
      <x:c r="V84" s="50"/>
      <x:c r="W84" s="50"/>
      <x:c r="X84" s="50"/>
      <x:c r="Y84" s="50"/>
      <x:c r="Z84" s="50"/>
    </x:row>
    <x:row r="85">
      <x:c r="A85" s="50"/>
      <x:c r="B85" s="50"/>
      <x:c r="C85" s="50"/>
      <x:c r="D85" s="50"/>
      <x:c r="E85" s="50"/>
      <x:c r="F85" s="50"/>
      <x:c r="G85" s="50"/>
      <x:c r="H85" s="50"/>
      <x:c r="I85" s="50"/>
      <x:c r="J85" s="50"/>
      <x:c r="K85" s="50"/>
      <x:c r="L85" s="50"/>
      <x:c r="M85" s="50"/>
      <x:c r="N85" s="50"/>
      <x:c r="O85" s="50"/>
      <x:c r="P85" s="50"/>
      <x:c r="Q85" s="50"/>
      <x:c r="R85" s="50"/>
      <x:c r="S85" s="50"/>
      <x:c r="T85" s="50"/>
      <x:c r="U85" s="50"/>
      <x:c r="V85" s="50"/>
      <x:c r="W85" s="50"/>
      <x:c r="X85" s="50"/>
      <x:c r="Y85" s="50"/>
      <x:c r="Z85" s="50"/>
    </x:row>
    <x:row r="86">
      <x:c r="A86" s="50"/>
      <x:c r="B86" s="50"/>
      <x:c r="C86" s="50"/>
      <x:c r="D86" s="50"/>
      <x:c r="E86" s="50"/>
      <x:c r="F86" s="50"/>
      <x:c r="G86" s="50"/>
      <x:c r="H86" s="50"/>
      <x:c r="I86" s="50"/>
      <x:c r="J86" s="50"/>
      <x:c r="K86" s="50"/>
      <x:c r="L86" s="50"/>
      <x:c r="M86" s="50"/>
      <x:c r="N86" s="50"/>
      <x:c r="O86" s="50"/>
      <x:c r="P86" s="50"/>
      <x:c r="Q86" s="50"/>
      <x:c r="R86" s="50"/>
      <x:c r="S86" s="50"/>
      <x:c r="T86" s="50"/>
      <x:c r="U86" s="50"/>
      <x:c r="V86" s="50"/>
      <x:c r="W86" s="50"/>
      <x:c r="X86" s="50"/>
      <x:c r="Y86" s="50"/>
      <x:c r="Z86" s="50"/>
    </x:row>
    <x:row r="87">
      <x:c r="A87" s="50"/>
      <x:c r="B87" s="50"/>
      <x:c r="C87" s="50"/>
      <x:c r="D87" s="50"/>
      <x:c r="E87" s="50"/>
      <x:c r="F87" s="50"/>
      <x:c r="G87" s="50"/>
      <x:c r="H87" s="50"/>
      <x:c r="I87" s="50"/>
      <x:c r="J87" s="50"/>
      <x:c r="K87" s="50"/>
      <x:c r="L87" s="50"/>
      <x:c r="M87" s="50"/>
      <x:c r="N87" s="50"/>
      <x:c r="O87" s="50"/>
      <x:c r="P87" s="50"/>
      <x:c r="Q87" s="50"/>
      <x:c r="R87" s="50"/>
      <x:c r="S87" s="50"/>
      <x:c r="T87" s="50"/>
      <x:c r="U87" s="50"/>
      <x:c r="V87" s="50"/>
      <x:c r="W87" s="50"/>
      <x:c r="X87" s="50"/>
      <x:c r="Y87" s="50"/>
      <x:c r="Z87" s="50"/>
    </x:row>
    <x:row r="88">
      <x:c r="A88" s="50"/>
      <x:c r="B88" s="50"/>
      <x:c r="C88" s="50"/>
      <x:c r="D88" s="50"/>
      <x:c r="E88" s="50"/>
      <x:c r="F88" s="50"/>
      <x:c r="G88" s="50"/>
      <x:c r="H88" s="50"/>
      <x:c r="I88" s="50"/>
      <x:c r="J88" s="50"/>
      <x:c r="K88" s="50"/>
      <x:c r="L88" s="50"/>
      <x:c r="M88" s="50"/>
      <x:c r="N88" s="50"/>
      <x:c r="O88" s="50"/>
      <x:c r="P88" s="50"/>
      <x:c r="Q88" s="50"/>
      <x:c r="R88" s="50"/>
      <x:c r="S88" s="50"/>
      <x:c r="T88" s="50"/>
      <x:c r="U88" s="50"/>
      <x:c r="V88" s="50"/>
      <x:c r="W88" s="50"/>
      <x:c r="X88" s="50"/>
      <x:c r="Y88" s="50"/>
      <x:c r="Z88" s="50"/>
    </x:row>
    <x:row r="89">
      <x:c r="A89" s="50"/>
      <x:c r="B89" s="50"/>
      <x:c r="C89" s="50"/>
      <x:c r="D89" s="50"/>
      <x:c r="E89" s="50"/>
      <x:c r="F89" s="50"/>
      <x:c r="G89" s="50"/>
      <x:c r="H89" s="50"/>
      <x:c r="I89" s="50"/>
      <x:c r="J89" s="50"/>
      <x:c r="K89" s="50"/>
      <x:c r="L89" s="50"/>
      <x:c r="M89" s="50"/>
      <x:c r="N89" s="50"/>
      <x:c r="O89" s="50"/>
      <x:c r="P89" s="50"/>
      <x:c r="Q89" s="50"/>
      <x:c r="R89" s="50"/>
      <x:c r="S89" s="50"/>
      <x:c r="T89" s="50"/>
      <x:c r="U89" s="50"/>
      <x:c r="V89" s="50"/>
      <x:c r="W89" s="50"/>
      <x:c r="X89" s="50"/>
      <x:c r="Y89" s="50"/>
      <x:c r="Z89" s="50"/>
    </x:row>
    <x:row r="90">
      <x:c r="A90" s="50"/>
      <x:c r="B90" s="50"/>
      <x:c r="C90" s="50"/>
      <x:c r="D90" s="50"/>
      <x:c r="E90" s="50"/>
      <x:c r="F90" s="50"/>
      <x:c r="G90" s="50"/>
      <x:c r="H90" s="50"/>
      <x:c r="I90" s="50"/>
      <x:c r="J90" s="50"/>
      <x:c r="K90" s="50"/>
      <x:c r="L90" s="50"/>
      <x:c r="M90" s="50"/>
      <x:c r="N90" s="50"/>
      <x:c r="O90" s="50"/>
      <x:c r="P90" s="50"/>
      <x:c r="Q90" s="50"/>
      <x:c r="R90" s="50"/>
      <x:c r="S90" s="50"/>
      <x:c r="T90" s="50"/>
      <x:c r="U90" s="50"/>
      <x:c r="V90" s="50"/>
      <x:c r="W90" s="50"/>
      <x:c r="X90" s="50"/>
      <x:c r="Y90" s="50"/>
      <x:c r="Z90" s="50"/>
    </x:row>
    <x:row r="91">
      <x:c r="A91" s="50"/>
      <x:c r="B91" s="50"/>
      <x:c r="C91" s="50"/>
      <x:c r="D91" s="50"/>
      <x:c r="E91" s="50"/>
      <x:c r="F91" s="50"/>
      <x:c r="G91" s="50"/>
      <x:c r="H91" s="50"/>
      <x:c r="I91" s="50"/>
      <x:c r="J91" s="50"/>
      <x:c r="K91" s="50"/>
      <x:c r="L91" s="50"/>
      <x:c r="M91" s="50"/>
      <x:c r="N91" s="50"/>
      <x:c r="O91" s="50"/>
      <x:c r="P91" s="50"/>
      <x:c r="Q91" s="50"/>
      <x:c r="R91" s="50"/>
      <x:c r="S91" s="50"/>
      <x:c r="T91" s="50"/>
      <x:c r="U91" s="50"/>
      <x:c r="V91" s="50"/>
      <x:c r="W91" s="50"/>
      <x:c r="X91" s="50"/>
      <x:c r="Y91" s="50"/>
      <x:c r="Z91" s="50"/>
    </x:row>
    <x:row r="92">
      <x:c r="A92" s="50"/>
      <x:c r="B92" s="50"/>
      <x:c r="C92" s="50"/>
      <x:c r="D92" s="50"/>
      <x:c r="E92" s="50"/>
      <x:c r="F92" s="50"/>
      <x:c r="G92" s="50"/>
      <x:c r="H92" s="50"/>
      <x:c r="I92" s="50"/>
      <x:c r="J92" s="50"/>
      <x:c r="K92" s="50"/>
      <x:c r="L92" s="50"/>
      <x:c r="M92" s="50"/>
      <x:c r="N92" s="50"/>
      <x:c r="O92" s="50"/>
      <x:c r="P92" s="50"/>
      <x:c r="Q92" s="50"/>
      <x:c r="R92" s="50"/>
      <x:c r="S92" s="50"/>
      <x:c r="T92" s="50"/>
      <x:c r="U92" s="50"/>
      <x:c r="V92" s="50"/>
      <x:c r="W92" s="50"/>
      <x:c r="X92" s="50"/>
      <x:c r="Y92" s="50"/>
      <x:c r="Z92" s="50"/>
    </x:row>
    <x:row r="93">
      <x:c r="A93" s="50"/>
      <x:c r="B93" s="50"/>
      <x:c r="C93" s="50"/>
      <x:c r="D93" s="50"/>
      <x:c r="E93" s="50"/>
      <x:c r="F93" s="50"/>
      <x:c r="G93" s="50"/>
      <x:c r="H93" s="50"/>
      <x:c r="I93" s="50"/>
      <x:c r="J93" s="50"/>
      <x:c r="K93" s="50"/>
      <x:c r="L93" s="50"/>
      <x:c r="M93" s="50"/>
      <x:c r="N93" s="50"/>
      <x:c r="O93" s="50"/>
      <x:c r="P93" s="50"/>
      <x:c r="Q93" s="50"/>
      <x:c r="R93" s="50"/>
      <x:c r="S93" s="50"/>
      <x:c r="T93" s="50"/>
      <x:c r="U93" s="50"/>
      <x:c r="V93" s="50"/>
      <x:c r="W93" s="50"/>
      <x:c r="X93" s="50"/>
      <x:c r="Y93" s="50"/>
      <x:c r="Z93" s="50"/>
    </x:row>
    <x:row r="94">
      <x:c r="A94" s="50"/>
      <x:c r="B94" s="50"/>
      <x:c r="C94" s="50"/>
      <x:c r="D94" s="50"/>
      <x:c r="E94" s="50"/>
      <x:c r="F94" s="50"/>
      <x:c r="G94" s="50"/>
      <x:c r="H94" s="50"/>
      <x:c r="I94" s="50"/>
      <x:c r="J94" s="50"/>
      <x:c r="K94" s="50"/>
      <x:c r="L94" s="50"/>
      <x:c r="M94" s="50"/>
      <x:c r="N94" s="50"/>
      <x:c r="O94" s="50"/>
      <x:c r="P94" s="50"/>
      <x:c r="Q94" s="50"/>
      <x:c r="R94" s="50"/>
      <x:c r="S94" s="50"/>
      <x:c r="T94" s="50"/>
      <x:c r="U94" s="50"/>
      <x:c r="V94" s="50"/>
      <x:c r="W94" s="50"/>
      <x:c r="X94" s="50"/>
      <x:c r="Y94" s="50"/>
      <x:c r="Z94" s="50"/>
    </x:row>
    <x:row r="95">
      <x:c r="A95" s="50"/>
      <x:c r="B95" s="50"/>
      <x:c r="C95" s="50"/>
      <x:c r="D95" s="50"/>
      <x:c r="E95" s="50"/>
      <x:c r="F95" s="50"/>
      <x:c r="G95" s="50"/>
      <x:c r="H95" s="50"/>
      <x:c r="I95" s="50"/>
      <x:c r="J95" s="50"/>
      <x:c r="K95" s="50"/>
      <x:c r="L95" s="50"/>
      <x:c r="M95" s="50"/>
      <x:c r="N95" s="50"/>
      <x:c r="O95" s="50"/>
      <x:c r="P95" s="50"/>
      <x:c r="Q95" s="50"/>
      <x:c r="R95" s="50"/>
      <x:c r="S95" s="50"/>
      <x:c r="T95" s="50"/>
      <x:c r="U95" s="50"/>
      <x:c r="V95" s="50"/>
      <x:c r="W95" s="50"/>
      <x:c r="X95" s="50"/>
      <x:c r="Y95" s="50"/>
      <x:c r="Z95" s="50"/>
    </x:row>
    <x:row r="96">
      <x:c r="A96" s="50"/>
      <x:c r="B96" s="50"/>
      <x:c r="C96" s="50"/>
      <x:c r="D96" s="50"/>
      <x:c r="E96" s="50"/>
      <x:c r="F96" s="50"/>
      <x:c r="G96" s="50"/>
      <x:c r="H96" s="50"/>
      <x:c r="I96" s="50"/>
      <x:c r="J96" s="50"/>
      <x:c r="K96" s="50"/>
      <x:c r="L96" s="50"/>
      <x:c r="M96" s="50"/>
      <x:c r="N96" s="50"/>
      <x:c r="O96" s="50"/>
      <x:c r="P96" s="50"/>
      <x:c r="Q96" s="50"/>
      <x:c r="R96" s="50"/>
      <x:c r="S96" s="50"/>
      <x:c r="T96" s="50"/>
      <x:c r="U96" s="50"/>
      <x:c r="V96" s="50"/>
      <x:c r="W96" s="50"/>
      <x:c r="X96" s="50"/>
      <x:c r="Y96" s="50"/>
      <x:c r="Z96" s="50"/>
    </x:row>
    <x:row r="97">
      <x:c r="A97" s="50"/>
      <x:c r="B97" s="50"/>
      <x:c r="C97" s="50"/>
      <x:c r="D97" s="50"/>
      <x:c r="E97" s="50"/>
      <x:c r="F97" s="50"/>
      <x:c r="G97" s="50"/>
      <x:c r="H97" s="50"/>
      <x:c r="I97" s="50"/>
      <x:c r="J97" s="50"/>
      <x:c r="K97" s="50"/>
      <x:c r="L97" s="50"/>
      <x:c r="M97" s="50"/>
      <x:c r="N97" s="50"/>
      <x:c r="O97" s="50"/>
      <x:c r="P97" s="50"/>
      <x:c r="Q97" s="50"/>
      <x:c r="R97" s="50"/>
      <x:c r="S97" s="50"/>
      <x:c r="T97" s="50"/>
      <x:c r="U97" s="50"/>
      <x:c r="V97" s="50"/>
      <x:c r="W97" s="50"/>
      <x:c r="X97" s="50"/>
      <x:c r="Y97" s="50"/>
      <x:c r="Z97" s="50"/>
    </x:row>
    <x:row r="98">
      <x:c r="A98" s="50"/>
      <x:c r="B98" s="50"/>
      <x:c r="C98" s="50"/>
      <x:c r="D98" s="50"/>
      <x:c r="E98" s="50"/>
      <x:c r="F98" s="50"/>
      <x:c r="G98" s="50"/>
      <x:c r="H98" s="50"/>
      <x:c r="I98" s="50"/>
      <x:c r="J98" s="50"/>
      <x:c r="K98" s="50"/>
      <x:c r="L98" s="50"/>
      <x:c r="M98" s="50"/>
      <x:c r="N98" s="50"/>
      <x:c r="O98" s="50"/>
      <x:c r="P98" s="50"/>
      <x:c r="Q98" s="50"/>
      <x:c r="R98" s="50"/>
      <x:c r="S98" s="50"/>
      <x:c r="T98" s="50"/>
      <x:c r="U98" s="50"/>
      <x:c r="V98" s="50"/>
      <x:c r="W98" s="50"/>
      <x:c r="X98" s="50"/>
      <x:c r="Y98" s="50"/>
      <x:c r="Z98" s="50"/>
    </x:row>
    <x:row r="99">
      <x:c r="A99" s="50"/>
      <x:c r="B99" s="50"/>
      <x:c r="C99" s="50"/>
      <x:c r="D99" s="50"/>
      <x:c r="E99" s="50"/>
      <x:c r="F99" s="50"/>
      <x:c r="G99" s="50"/>
      <x:c r="H99" s="50"/>
      <x:c r="I99" s="50"/>
      <x:c r="J99" s="50"/>
      <x:c r="K99" s="50"/>
      <x:c r="L99" s="50"/>
      <x:c r="M99" s="50"/>
      <x:c r="N99" s="50"/>
      <x:c r="O99" s="50"/>
      <x:c r="P99" s="50"/>
      <x:c r="Q99" s="50"/>
      <x:c r="R99" s="50"/>
      <x:c r="S99" s="50"/>
      <x:c r="T99" s="50"/>
      <x:c r="U99" s="50"/>
      <x:c r="V99" s="50"/>
      <x:c r="W99" s="50"/>
      <x:c r="X99" s="50"/>
      <x:c r="Y99" s="50"/>
      <x:c r="Z99" s="50"/>
    </x:row>
    <x:row r="100">
      <x:c r="A100" s="50"/>
      <x:c r="B100" s="50"/>
      <x:c r="C100" s="50"/>
      <x:c r="D100" s="50"/>
      <x:c r="E100" s="50"/>
      <x:c r="F100" s="50"/>
      <x:c r="G100" s="50"/>
      <x:c r="H100" s="50"/>
      <x:c r="I100" s="50"/>
      <x:c r="J100" s="50"/>
      <x:c r="K100" s="50"/>
      <x:c r="L100" s="50"/>
      <x:c r="M100" s="50"/>
      <x:c r="N100" s="50"/>
      <x:c r="O100" s="50"/>
      <x:c r="P100" s="50"/>
      <x:c r="Q100" s="50"/>
      <x:c r="R100" s="50"/>
      <x:c r="S100" s="50"/>
      <x:c r="T100" s="50"/>
      <x:c r="U100" s="50"/>
      <x:c r="V100" s="50"/>
      <x:c r="W100" s="50"/>
      <x:c r="X100" s="50"/>
      <x:c r="Y100" s="50"/>
      <x:c r="Z100" s="50"/>
    </x:row>
    <x:row r="101">
      <x:c r="A101" s="50"/>
      <x:c r="B101" s="50"/>
      <x:c r="C101" s="50"/>
      <x:c r="D101" s="50"/>
      <x:c r="E101" s="50"/>
      <x:c r="F101" s="50"/>
      <x:c r="G101" s="50"/>
      <x:c r="H101" s="50"/>
      <x:c r="I101" s="50"/>
      <x:c r="J101" s="50"/>
      <x:c r="K101" s="50"/>
      <x:c r="L101" s="50"/>
      <x:c r="M101" s="50"/>
      <x:c r="N101" s="50"/>
      <x:c r="O101" s="50"/>
      <x:c r="P101" s="50"/>
      <x:c r="Q101" s="50"/>
      <x:c r="R101" s="50"/>
      <x:c r="S101" s="50"/>
      <x:c r="T101" s="50"/>
      <x:c r="U101" s="50"/>
      <x:c r="V101" s="50"/>
      <x:c r="W101" s="50"/>
      <x:c r="X101" s="50"/>
      <x:c r="Y101" s="50"/>
      <x:c r="Z101" s="50"/>
    </x:row>
    <x:row r="102">
      <x:c r="A102" s="50"/>
      <x:c r="B102" s="50"/>
      <x:c r="C102" s="50"/>
      <x:c r="D102" s="50"/>
      <x:c r="E102" s="50"/>
      <x:c r="F102" s="50"/>
      <x:c r="G102" s="50"/>
      <x:c r="H102" s="50"/>
      <x:c r="I102" s="50"/>
      <x:c r="J102" s="50"/>
      <x:c r="K102" s="50"/>
      <x:c r="L102" s="50"/>
      <x:c r="M102" s="50"/>
      <x:c r="N102" s="50"/>
      <x:c r="O102" s="50"/>
      <x:c r="P102" s="50"/>
      <x:c r="Q102" s="50"/>
      <x:c r="R102" s="50"/>
      <x:c r="S102" s="50"/>
      <x:c r="T102" s="50"/>
      <x:c r="U102" s="50"/>
      <x:c r="V102" s="50"/>
      <x:c r="W102" s="50"/>
      <x:c r="X102" s="50"/>
      <x:c r="Y102" s="50"/>
      <x:c r="Z102" s="50"/>
    </x:row>
    <x:row r="103">
      <x:c r="A103" s="50"/>
      <x:c r="B103" s="50"/>
      <x:c r="C103" s="50"/>
      <x:c r="D103" s="50"/>
      <x:c r="E103" s="50"/>
      <x:c r="F103" s="50"/>
      <x:c r="G103" s="50"/>
      <x:c r="H103" s="50"/>
      <x:c r="I103" s="50"/>
      <x:c r="J103" s="50"/>
      <x:c r="K103" s="50"/>
      <x:c r="L103" s="50"/>
      <x:c r="M103" s="50"/>
      <x:c r="N103" s="50"/>
      <x:c r="O103" s="50"/>
      <x:c r="P103" s="50"/>
      <x:c r="Q103" s="50"/>
      <x:c r="R103" s="50"/>
      <x:c r="S103" s="50"/>
      <x:c r="T103" s="50"/>
      <x:c r="U103" s="50"/>
      <x:c r="V103" s="50"/>
      <x:c r="W103" s="50"/>
      <x:c r="X103" s="50"/>
      <x:c r="Y103" s="50"/>
      <x:c r="Z103" s="50"/>
    </x:row>
    <x:row r="104">
      <x:c r="A104" s="50"/>
      <x:c r="B104" s="50"/>
      <x:c r="C104" s="50"/>
      <x:c r="D104" s="50"/>
      <x:c r="E104" s="50"/>
      <x:c r="F104" s="50"/>
      <x:c r="G104" s="50"/>
      <x:c r="H104" s="50"/>
      <x:c r="I104" s="50"/>
      <x:c r="J104" s="50"/>
      <x:c r="K104" s="50"/>
      <x:c r="L104" s="50"/>
      <x:c r="M104" s="50"/>
      <x:c r="N104" s="50"/>
      <x:c r="O104" s="50"/>
      <x:c r="P104" s="50"/>
      <x:c r="Q104" s="50"/>
      <x:c r="R104" s="50"/>
      <x:c r="S104" s="50"/>
      <x:c r="T104" s="50"/>
      <x:c r="U104" s="50"/>
      <x:c r="V104" s="50"/>
      <x:c r="W104" s="50"/>
      <x:c r="X104" s="50"/>
      <x:c r="Y104" s="50"/>
      <x:c r="Z104" s="50"/>
    </x:row>
    <x:row r="105">
      <x:c r="A105" s="50"/>
      <x:c r="B105" s="50"/>
      <x:c r="C105" s="50"/>
      <x:c r="D105" s="50"/>
      <x:c r="E105" s="50"/>
      <x:c r="F105" s="50"/>
      <x:c r="G105" s="50"/>
      <x:c r="H105" s="50"/>
      <x:c r="I105" s="50"/>
      <x:c r="J105" s="50"/>
      <x:c r="K105" s="50"/>
      <x:c r="L105" s="50"/>
      <x:c r="M105" s="50"/>
      <x:c r="N105" s="50"/>
      <x:c r="O105" s="50"/>
      <x:c r="P105" s="50"/>
      <x:c r="Q105" s="50"/>
      <x:c r="R105" s="50"/>
      <x:c r="S105" s="50"/>
      <x:c r="T105" s="50"/>
      <x:c r="U105" s="50"/>
      <x:c r="V105" s="50"/>
      <x:c r="W105" s="50"/>
      <x:c r="X105" s="50"/>
      <x:c r="Y105" s="50"/>
      <x:c r="Z105" s="50"/>
    </x:row>
    <x:row r="106">
      <x:c r="A106" s="50"/>
      <x:c r="B106" s="50"/>
      <x:c r="C106" s="50"/>
      <x:c r="D106" s="50"/>
      <x:c r="E106" s="50"/>
      <x:c r="F106" s="50"/>
      <x:c r="G106" s="50"/>
      <x:c r="H106" s="50"/>
      <x:c r="I106" s="50"/>
      <x:c r="J106" s="50"/>
      <x:c r="K106" s="50"/>
      <x:c r="L106" s="50"/>
      <x:c r="M106" s="50"/>
      <x:c r="N106" s="50"/>
      <x:c r="O106" s="50"/>
      <x:c r="P106" s="50"/>
      <x:c r="Q106" s="50"/>
      <x:c r="R106" s="50"/>
      <x:c r="S106" s="50"/>
      <x:c r="T106" s="50"/>
      <x:c r="U106" s="50"/>
      <x:c r="V106" s="50"/>
      <x:c r="W106" s="50"/>
      <x:c r="X106" s="50"/>
      <x:c r="Y106" s="50"/>
      <x:c r="Z106" s="50"/>
    </x:row>
    <x:row r="107">
      <x:c r="A107" s="50"/>
      <x:c r="B107" s="50"/>
      <x:c r="C107" s="50"/>
      <x:c r="D107" s="50"/>
      <x:c r="E107" s="50"/>
      <x:c r="F107" s="50"/>
      <x:c r="G107" s="50"/>
      <x:c r="H107" s="50"/>
      <x:c r="I107" s="50"/>
      <x:c r="J107" s="50"/>
      <x:c r="K107" s="50"/>
      <x:c r="L107" s="50"/>
      <x:c r="M107" s="50"/>
      <x:c r="N107" s="50"/>
      <x:c r="O107" s="50"/>
      <x:c r="P107" s="50"/>
      <x:c r="Q107" s="50"/>
      <x:c r="R107" s="50"/>
      <x:c r="S107" s="50"/>
      <x:c r="T107" s="50"/>
      <x:c r="U107" s="50"/>
      <x:c r="V107" s="50"/>
      <x:c r="W107" s="50"/>
      <x:c r="X107" s="50"/>
      <x:c r="Y107" s="50"/>
      <x:c r="Z107" s="50"/>
    </x:row>
    <x:row r="108">
      <x:c r="A108" s="50"/>
      <x:c r="B108" s="50"/>
      <x:c r="C108" s="50"/>
      <x:c r="D108" s="50"/>
      <x:c r="E108" s="50"/>
      <x:c r="F108" s="50"/>
      <x:c r="G108" s="50"/>
      <x:c r="H108" s="50"/>
      <x:c r="I108" s="50"/>
      <x:c r="J108" s="50"/>
      <x:c r="K108" s="50"/>
      <x:c r="L108" s="50"/>
      <x:c r="M108" s="50"/>
      <x:c r="N108" s="50"/>
      <x:c r="O108" s="50"/>
      <x:c r="P108" s="50"/>
      <x:c r="Q108" s="50"/>
      <x:c r="R108" s="50"/>
      <x:c r="S108" s="50"/>
      <x:c r="T108" s="50"/>
      <x:c r="U108" s="50"/>
      <x:c r="V108" s="50"/>
      <x:c r="W108" s="50"/>
      <x:c r="X108" s="50"/>
      <x:c r="Y108" s="50"/>
      <x:c r="Z108" s="50"/>
    </x:row>
    <x:row r="109">
      <x:c r="A109" s="50"/>
      <x:c r="B109" s="50"/>
      <x:c r="C109" s="50"/>
      <x:c r="D109" s="50"/>
      <x:c r="E109" s="50"/>
      <x:c r="F109" s="50"/>
      <x:c r="G109" s="50"/>
      <x:c r="H109" s="50"/>
      <x:c r="I109" s="50"/>
      <x:c r="J109" s="50"/>
      <x:c r="K109" s="50"/>
      <x:c r="L109" s="50"/>
      <x:c r="M109" s="50"/>
      <x:c r="N109" s="50"/>
      <x:c r="O109" s="50"/>
      <x:c r="P109" s="50"/>
      <x:c r="Q109" s="50"/>
      <x:c r="R109" s="50"/>
      <x:c r="S109" s="50"/>
      <x:c r="T109" s="50"/>
      <x:c r="U109" s="50"/>
      <x:c r="V109" s="50"/>
      <x:c r="W109" s="50"/>
      <x:c r="X109" s="50"/>
      <x:c r="Y109" s="50"/>
      <x:c r="Z109" s="50"/>
    </x:row>
    <x:row r="110">
      <x:c r="A110" s="50"/>
      <x:c r="B110" s="50"/>
      <x:c r="C110" s="50"/>
      <x:c r="D110" s="50"/>
      <x:c r="E110" s="50"/>
      <x:c r="F110" s="50"/>
      <x:c r="G110" s="50"/>
      <x:c r="H110" s="50"/>
      <x:c r="I110" s="50"/>
      <x:c r="J110" s="50"/>
      <x:c r="K110" s="50"/>
      <x:c r="L110" s="50"/>
      <x:c r="M110" s="50"/>
      <x:c r="N110" s="50"/>
      <x:c r="O110" s="50"/>
      <x:c r="P110" s="50"/>
      <x:c r="Q110" s="50"/>
      <x:c r="R110" s="50"/>
      <x:c r="S110" s="50"/>
      <x:c r="T110" s="50"/>
      <x:c r="U110" s="50"/>
      <x:c r="V110" s="50"/>
      <x:c r="W110" s="50"/>
      <x:c r="X110" s="50"/>
      <x:c r="Y110" s="50"/>
      <x:c r="Z110" s="50"/>
    </x:row>
    <x:row r="111">
      <x:c r="A111" s="50"/>
      <x:c r="B111" s="50"/>
      <x:c r="C111" s="50"/>
      <x:c r="D111" s="50"/>
      <x:c r="E111" s="50"/>
      <x:c r="F111" s="50"/>
      <x:c r="G111" s="50"/>
      <x:c r="H111" s="50"/>
      <x:c r="I111" s="50"/>
      <x:c r="J111" s="50"/>
      <x:c r="K111" s="50"/>
      <x:c r="L111" s="50"/>
      <x:c r="M111" s="50"/>
      <x:c r="N111" s="50"/>
      <x:c r="O111" s="50"/>
      <x:c r="P111" s="50"/>
      <x:c r="Q111" s="50"/>
      <x:c r="R111" s="50"/>
      <x:c r="S111" s="50"/>
      <x:c r="T111" s="50"/>
      <x:c r="U111" s="50"/>
      <x:c r="V111" s="50"/>
      <x:c r="W111" s="50"/>
      <x:c r="X111" s="50"/>
      <x:c r="Y111" s="50"/>
      <x:c r="Z111" s="50"/>
    </x:row>
    <x:row r="112">
      <x:c r="A112" s="50"/>
      <x:c r="B112" s="50"/>
      <x:c r="C112" s="50"/>
      <x:c r="D112" s="50"/>
      <x:c r="E112" s="50"/>
      <x:c r="F112" s="50"/>
      <x:c r="G112" s="50"/>
      <x:c r="H112" s="50"/>
      <x:c r="I112" s="50"/>
      <x:c r="J112" s="50"/>
      <x:c r="K112" s="50"/>
      <x:c r="L112" s="50"/>
      <x:c r="M112" s="50"/>
      <x:c r="N112" s="50"/>
      <x:c r="O112" s="50"/>
      <x:c r="P112" s="50"/>
      <x:c r="Q112" s="50"/>
      <x:c r="R112" s="50"/>
      <x:c r="S112" s="50"/>
      <x:c r="T112" s="50"/>
      <x:c r="U112" s="50"/>
      <x:c r="V112" s="50"/>
      <x:c r="W112" s="50"/>
      <x:c r="X112" s="50"/>
      <x:c r="Y112" s="50"/>
      <x:c r="Z112" s="50"/>
    </x:row>
    <x:row r="113">
      <x:c r="A113" s="50"/>
      <x:c r="B113" s="50"/>
      <x:c r="C113" s="50"/>
      <x:c r="D113" s="50"/>
      <x:c r="E113" s="50"/>
      <x:c r="F113" s="50"/>
      <x:c r="G113" s="50"/>
      <x:c r="H113" s="50"/>
      <x:c r="I113" s="50"/>
      <x:c r="J113" s="50"/>
      <x:c r="K113" s="50"/>
      <x:c r="L113" s="50"/>
      <x:c r="M113" s="50"/>
      <x:c r="N113" s="50"/>
      <x:c r="O113" s="50"/>
      <x:c r="P113" s="50"/>
      <x:c r="Q113" s="50"/>
      <x:c r="R113" s="50"/>
      <x:c r="S113" s="50"/>
      <x:c r="T113" s="50"/>
      <x:c r="U113" s="50"/>
      <x:c r="V113" s="50"/>
      <x:c r="W113" s="50"/>
      <x:c r="X113" s="50"/>
      <x:c r="Y113" s="50"/>
      <x:c r="Z113" s="50"/>
    </x:row>
    <x:row r="114">
      <x:c r="A114" s="50"/>
      <x:c r="B114" s="50"/>
      <x:c r="C114" s="50"/>
      <x:c r="D114" s="50"/>
      <x:c r="E114" s="50"/>
      <x:c r="F114" s="50"/>
      <x:c r="G114" s="50"/>
      <x:c r="H114" s="50"/>
      <x:c r="I114" s="50"/>
      <x:c r="J114" s="50"/>
      <x:c r="K114" s="50"/>
      <x:c r="L114" s="50"/>
      <x:c r="M114" s="50"/>
      <x:c r="N114" s="50"/>
      <x:c r="O114" s="50"/>
      <x:c r="P114" s="50"/>
      <x:c r="Q114" s="50"/>
      <x:c r="R114" s="50"/>
      <x:c r="S114" s="50"/>
      <x:c r="T114" s="50"/>
      <x:c r="U114" s="50"/>
      <x:c r="V114" s="50"/>
      <x:c r="W114" s="50"/>
      <x:c r="X114" s="50"/>
      <x:c r="Y114" s="50"/>
      <x:c r="Z114" s="50"/>
    </x:row>
    <x:row r="115">
      <x:c r="A115" s="50"/>
      <x:c r="B115" s="50"/>
      <x:c r="C115" s="50"/>
      <x:c r="D115" s="50"/>
      <x:c r="E115" s="50"/>
      <x:c r="F115" s="50"/>
      <x:c r="G115" s="50"/>
      <x:c r="H115" s="50"/>
      <x:c r="I115" s="50"/>
      <x:c r="J115" s="50"/>
      <x:c r="K115" s="50"/>
      <x:c r="L115" s="50"/>
      <x:c r="M115" s="50"/>
      <x:c r="N115" s="50"/>
      <x:c r="O115" s="50"/>
      <x:c r="P115" s="50"/>
      <x:c r="Q115" s="50"/>
      <x:c r="R115" s="50"/>
      <x:c r="S115" s="50"/>
      <x:c r="T115" s="50"/>
      <x:c r="U115" s="50"/>
      <x:c r="V115" s="50"/>
      <x:c r="W115" s="50"/>
      <x:c r="X115" s="50"/>
      <x:c r="Y115" s="50"/>
      <x:c r="Z115" s="50"/>
    </x:row>
    <x:row r="116">
      <x:c r="A116" s="50"/>
      <x:c r="B116" s="50"/>
      <x:c r="C116" s="50"/>
      <x:c r="D116" s="50"/>
      <x:c r="E116" s="50"/>
      <x:c r="F116" s="50"/>
      <x:c r="G116" s="50"/>
      <x:c r="H116" s="50"/>
      <x:c r="I116" s="50"/>
      <x:c r="J116" s="50"/>
      <x:c r="K116" s="50"/>
      <x:c r="L116" s="50"/>
      <x:c r="M116" s="50"/>
      <x:c r="N116" s="50"/>
      <x:c r="O116" s="50"/>
      <x:c r="P116" s="50"/>
      <x:c r="Q116" s="50"/>
      <x:c r="R116" s="50"/>
      <x:c r="S116" s="50"/>
      <x:c r="T116" s="50"/>
      <x:c r="U116" s="50"/>
      <x:c r="V116" s="50"/>
      <x:c r="W116" s="50"/>
      <x:c r="X116" s="50"/>
      <x:c r="Y116" s="50"/>
      <x:c r="Z116" s="50"/>
    </x:row>
    <x:row r="117">
      <x:c r="A117" s="50"/>
      <x:c r="B117" s="50"/>
      <x:c r="C117" s="50"/>
      <x:c r="D117" s="50"/>
      <x:c r="E117" s="50"/>
      <x:c r="F117" s="50"/>
      <x:c r="G117" s="50"/>
      <x:c r="H117" s="50"/>
      <x:c r="I117" s="50"/>
      <x:c r="J117" s="50"/>
      <x:c r="K117" s="50"/>
      <x:c r="L117" s="50"/>
      <x:c r="M117" s="50"/>
      <x:c r="N117" s="50"/>
      <x:c r="O117" s="50"/>
      <x:c r="P117" s="50"/>
      <x:c r="Q117" s="50"/>
      <x:c r="R117" s="50"/>
      <x:c r="S117" s="50"/>
      <x:c r="T117" s="50"/>
      <x:c r="U117" s="50"/>
      <x:c r="V117" s="50"/>
      <x:c r="W117" s="50"/>
      <x:c r="X117" s="50"/>
      <x:c r="Y117" s="50"/>
      <x:c r="Z117" s="50"/>
    </x:row>
    <x:row r="118">
      <x:c r="A118" s="50"/>
      <x:c r="B118" s="50"/>
      <x:c r="C118" s="50"/>
      <x:c r="D118" s="50"/>
      <x:c r="E118" s="50"/>
      <x:c r="F118" s="50"/>
      <x:c r="G118" s="50"/>
      <x:c r="H118" s="50"/>
      <x:c r="I118" s="50"/>
      <x:c r="J118" s="50"/>
      <x:c r="K118" s="50"/>
      <x:c r="L118" s="50"/>
      <x:c r="M118" s="50"/>
      <x:c r="N118" s="50"/>
      <x:c r="O118" s="50"/>
      <x:c r="P118" s="50"/>
      <x:c r="Q118" s="50"/>
      <x:c r="R118" s="50"/>
      <x:c r="S118" s="50"/>
      <x:c r="T118" s="50"/>
      <x:c r="U118" s="50"/>
      <x:c r="V118" s="50"/>
      <x:c r="W118" s="50"/>
      <x:c r="X118" s="50"/>
      <x:c r="Y118" s="50"/>
      <x:c r="Z118" s="50"/>
    </x:row>
    <x:row r="119">
      <x:c r="A119" s="50"/>
      <x:c r="B119" s="50"/>
      <x:c r="C119" s="50"/>
      <x:c r="D119" s="50"/>
      <x:c r="E119" s="50"/>
      <x:c r="F119" s="50"/>
      <x:c r="G119" s="50"/>
      <x:c r="H119" s="50"/>
      <x:c r="I119" s="50"/>
      <x:c r="J119" s="50"/>
      <x:c r="K119" s="50"/>
      <x:c r="L119" s="50"/>
      <x:c r="M119" s="50"/>
      <x:c r="N119" s="50"/>
      <x:c r="O119" s="50"/>
      <x:c r="P119" s="50"/>
      <x:c r="Q119" s="50"/>
      <x:c r="R119" s="50"/>
      <x:c r="S119" s="50"/>
      <x:c r="T119" s="50"/>
      <x:c r="U119" s="50"/>
      <x:c r="V119" s="50"/>
      <x:c r="W119" s="50"/>
      <x:c r="X119" s="50"/>
      <x:c r="Y119" s="50"/>
      <x:c r="Z119" s="50"/>
    </x:row>
    <x:row r="120">
      <x:c r="A120" s="50"/>
      <x:c r="B120" s="50"/>
      <x:c r="C120" s="50"/>
      <x:c r="D120" s="50"/>
      <x:c r="E120" s="50"/>
      <x:c r="F120" s="50"/>
      <x:c r="G120" s="50"/>
      <x:c r="H120" s="50"/>
      <x:c r="I120" s="50"/>
      <x:c r="J120" s="50"/>
      <x:c r="K120" s="50"/>
      <x:c r="L120" s="50"/>
      <x:c r="M120" s="50"/>
      <x:c r="N120" s="50"/>
      <x:c r="O120" s="50"/>
      <x:c r="P120" s="50"/>
      <x:c r="Q120" s="50"/>
      <x:c r="R120" s="50"/>
      <x:c r="S120" s="50"/>
      <x:c r="T120" s="50"/>
      <x:c r="U120" s="50"/>
      <x:c r="V120" s="50"/>
      <x:c r="W120" s="50"/>
      <x:c r="X120" s="50"/>
      <x:c r="Y120" s="50"/>
      <x:c r="Z120" s="50"/>
    </x:row>
    <x:row r="121">
      <x:c r="A121" s="50"/>
      <x:c r="B121" s="50"/>
      <x:c r="C121" s="50"/>
      <x:c r="D121" s="50"/>
      <x:c r="E121" s="50"/>
      <x:c r="F121" s="50"/>
      <x:c r="G121" s="50"/>
      <x:c r="H121" s="50"/>
      <x:c r="I121" s="50"/>
      <x:c r="J121" s="50"/>
      <x:c r="K121" s="50"/>
      <x:c r="L121" s="50"/>
      <x:c r="M121" s="50"/>
      <x:c r="N121" s="50"/>
      <x:c r="O121" s="50"/>
      <x:c r="P121" s="50"/>
      <x:c r="Q121" s="50"/>
      <x:c r="R121" s="50"/>
      <x:c r="S121" s="50"/>
      <x:c r="T121" s="50"/>
      <x:c r="U121" s="50"/>
      <x:c r="V121" s="50"/>
      <x:c r="W121" s="50"/>
      <x:c r="X121" s="50"/>
      <x:c r="Y121" s="50"/>
      <x:c r="Z121" s="50"/>
    </x:row>
    <x:row r="122">
      <x:c r="A122" s="50"/>
      <x:c r="B122" s="50"/>
      <x:c r="C122" s="50"/>
      <x:c r="D122" s="50"/>
      <x:c r="E122" s="50"/>
      <x:c r="F122" s="50"/>
      <x:c r="G122" s="50"/>
      <x:c r="H122" s="50"/>
      <x:c r="I122" s="50"/>
      <x:c r="J122" s="50"/>
      <x:c r="K122" s="50"/>
      <x:c r="L122" s="50"/>
      <x:c r="M122" s="50"/>
      <x:c r="N122" s="50"/>
      <x:c r="O122" s="50"/>
      <x:c r="P122" s="50"/>
      <x:c r="Q122" s="50"/>
      <x:c r="R122" s="50"/>
      <x:c r="S122" s="50"/>
      <x:c r="T122" s="50"/>
      <x:c r="U122" s="50"/>
      <x:c r="V122" s="50"/>
      <x:c r="W122" s="50"/>
      <x:c r="X122" s="50"/>
      <x:c r="Y122" s="50"/>
      <x:c r="Z122" s="50"/>
    </x:row>
    <x:row r="123">
      <x:c r="A123" s="50"/>
      <x:c r="B123" s="50"/>
      <x:c r="C123" s="50"/>
      <x:c r="D123" s="50"/>
      <x:c r="E123" s="50"/>
      <x:c r="F123" s="50"/>
      <x:c r="G123" s="50"/>
      <x:c r="H123" s="50"/>
      <x:c r="I123" s="50"/>
      <x:c r="J123" s="50"/>
      <x:c r="K123" s="50"/>
      <x:c r="L123" s="50"/>
      <x:c r="M123" s="50"/>
      <x:c r="N123" s="50"/>
      <x:c r="O123" s="50"/>
      <x:c r="P123" s="50"/>
      <x:c r="Q123" s="50"/>
      <x:c r="R123" s="50"/>
      <x:c r="S123" s="50"/>
      <x:c r="T123" s="50"/>
      <x:c r="U123" s="50"/>
      <x:c r="V123" s="50"/>
      <x:c r="W123" s="50"/>
      <x:c r="X123" s="50"/>
      <x:c r="Y123" s="50"/>
      <x:c r="Z123" s="50"/>
    </x:row>
    <x:row r="124">
      <x:c r="A124" s="50"/>
      <x:c r="B124" s="50"/>
      <x:c r="C124" s="50"/>
      <x:c r="D124" s="50"/>
      <x:c r="E124" s="50"/>
      <x:c r="F124" s="50"/>
      <x:c r="G124" s="50"/>
      <x:c r="H124" s="50"/>
      <x:c r="I124" s="50"/>
      <x:c r="J124" s="50"/>
      <x:c r="K124" s="50"/>
      <x:c r="L124" s="50"/>
      <x:c r="M124" s="50"/>
      <x:c r="N124" s="50"/>
      <x:c r="O124" s="50"/>
      <x:c r="P124" s="50"/>
      <x:c r="Q124" s="50"/>
      <x:c r="R124" s="50"/>
      <x:c r="S124" s="50"/>
      <x:c r="T124" s="50"/>
      <x:c r="U124" s="50"/>
      <x:c r="V124" s="50"/>
      <x:c r="W124" s="50"/>
      <x:c r="X124" s="50"/>
      <x:c r="Y124" s="50"/>
      <x:c r="Z124" s="50"/>
    </x:row>
    <x:row r="125">
      <x:c r="A125" s="50"/>
      <x:c r="B125" s="50"/>
      <x:c r="C125" s="50"/>
      <x:c r="D125" s="50"/>
      <x:c r="E125" s="50"/>
      <x:c r="F125" s="50"/>
      <x:c r="G125" s="50"/>
      <x:c r="H125" s="50"/>
      <x:c r="I125" s="50"/>
      <x:c r="J125" s="50"/>
      <x:c r="K125" s="50"/>
      <x:c r="L125" s="50"/>
      <x:c r="M125" s="50"/>
      <x:c r="N125" s="50"/>
      <x:c r="O125" s="50"/>
      <x:c r="P125" s="50"/>
      <x:c r="Q125" s="50"/>
      <x:c r="R125" s="50"/>
      <x:c r="S125" s="50"/>
      <x:c r="T125" s="50"/>
      <x:c r="U125" s="50"/>
      <x:c r="V125" s="50"/>
      <x:c r="W125" s="50"/>
      <x:c r="X125" s="50"/>
      <x:c r="Y125" s="50"/>
      <x:c r="Z125" s="50"/>
    </x:row>
    <x:row r="126">
      <x:c r="A126" s="50"/>
      <x:c r="B126" s="50"/>
      <x:c r="C126" s="50"/>
      <x:c r="D126" s="50"/>
      <x:c r="E126" s="50"/>
      <x:c r="F126" s="50"/>
      <x:c r="G126" s="50"/>
      <x:c r="H126" s="50"/>
      <x:c r="I126" s="50"/>
      <x:c r="J126" s="50"/>
      <x:c r="K126" s="50"/>
      <x:c r="L126" s="50"/>
      <x:c r="M126" s="50"/>
      <x:c r="N126" s="50"/>
      <x:c r="O126" s="50"/>
      <x:c r="P126" s="50"/>
      <x:c r="Q126" s="50"/>
      <x:c r="R126" s="50"/>
      <x:c r="S126" s="50"/>
      <x:c r="T126" s="50"/>
      <x:c r="U126" s="50"/>
      <x:c r="V126" s="50"/>
      <x:c r="W126" s="50"/>
      <x:c r="X126" s="50"/>
      <x:c r="Y126" s="50"/>
      <x:c r="Z126" s="50"/>
    </x:row>
    <x:row r="127">
      <x:c r="A127" s="50"/>
      <x:c r="B127" s="50"/>
      <x:c r="C127" s="50"/>
      <x:c r="D127" s="50"/>
      <x:c r="E127" s="50"/>
      <x:c r="F127" s="50"/>
      <x:c r="G127" s="50"/>
      <x:c r="H127" s="50"/>
      <x:c r="I127" s="50"/>
      <x:c r="J127" s="50"/>
      <x:c r="K127" s="50"/>
      <x:c r="L127" s="50"/>
      <x:c r="M127" s="50"/>
      <x:c r="N127" s="50"/>
      <x:c r="O127" s="50"/>
      <x:c r="P127" s="50"/>
      <x:c r="Q127" s="50"/>
      <x:c r="R127" s="50"/>
      <x:c r="S127" s="50"/>
      <x:c r="T127" s="50"/>
      <x:c r="U127" s="50"/>
      <x:c r="V127" s="50"/>
      <x:c r="W127" s="50"/>
      <x:c r="X127" s="50"/>
      <x:c r="Y127" s="50"/>
      <x:c r="Z127" s="50"/>
    </x:row>
    <x:row r="128">
      <x:c r="A128" s="50"/>
      <x:c r="B128" s="50"/>
      <x:c r="C128" s="50"/>
      <x:c r="D128" s="50"/>
      <x:c r="E128" s="50"/>
      <x:c r="F128" s="50"/>
      <x:c r="G128" s="50"/>
      <x:c r="H128" s="50"/>
      <x:c r="I128" s="50"/>
      <x:c r="J128" s="50"/>
      <x:c r="K128" s="50"/>
      <x:c r="L128" s="50"/>
      <x:c r="M128" s="50"/>
      <x:c r="N128" s="50"/>
      <x:c r="O128" s="50"/>
      <x:c r="P128" s="50"/>
      <x:c r="Q128" s="50"/>
      <x:c r="R128" s="50"/>
      <x:c r="S128" s="50"/>
      <x:c r="T128" s="50"/>
      <x:c r="U128" s="50"/>
      <x:c r="V128" s="50"/>
      <x:c r="W128" s="50"/>
      <x:c r="X128" s="50"/>
      <x:c r="Y128" s="50"/>
      <x:c r="Z128" s="50"/>
    </x:row>
    <x:row r="129">
      <x:c r="A129" s="50"/>
      <x:c r="B129" s="50"/>
      <x:c r="C129" s="50"/>
      <x:c r="D129" s="50"/>
      <x:c r="E129" s="50"/>
      <x:c r="F129" s="50"/>
      <x:c r="G129" s="50"/>
      <x:c r="H129" s="50"/>
      <x:c r="I129" s="50"/>
      <x:c r="J129" s="50"/>
      <x:c r="K129" s="50"/>
      <x:c r="L129" s="50"/>
      <x:c r="M129" s="50"/>
      <x:c r="N129" s="50"/>
      <x:c r="O129" s="50"/>
      <x:c r="P129" s="50"/>
      <x:c r="Q129" s="50"/>
      <x:c r="R129" s="50"/>
      <x:c r="S129" s="50"/>
      <x:c r="T129" s="50"/>
      <x:c r="U129" s="50"/>
      <x:c r="V129" s="50"/>
      <x:c r="W129" s="50"/>
      <x:c r="X129" s="50"/>
      <x:c r="Y129" s="50"/>
      <x:c r="Z129" s="50"/>
    </x:row>
    <x:row r="130">
      <x:c r="A130" s="50"/>
      <x:c r="B130" s="50"/>
      <x:c r="C130" s="50"/>
      <x:c r="D130" s="50"/>
      <x:c r="E130" s="50"/>
      <x:c r="F130" s="50"/>
      <x:c r="G130" s="50"/>
      <x:c r="H130" s="50"/>
      <x:c r="I130" s="50"/>
      <x:c r="J130" s="50"/>
      <x:c r="K130" s="50"/>
      <x:c r="L130" s="50"/>
      <x:c r="M130" s="50"/>
      <x:c r="N130" s="50"/>
      <x:c r="O130" s="50"/>
      <x:c r="P130" s="50"/>
      <x:c r="Q130" s="50"/>
      <x:c r="R130" s="50"/>
      <x:c r="S130" s="50"/>
      <x:c r="T130" s="50"/>
      <x:c r="U130" s="50"/>
      <x:c r="V130" s="50"/>
      <x:c r="W130" s="50"/>
      <x:c r="X130" s="50"/>
      <x:c r="Y130" s="50"/>
      <x:c r="Z130" s="50"/>
    </x:row>
    <x:row r="131">
      <x:c r="A131" s="50"/>
      <x:c r="B131" s="50"/>
      <x:c r="C131" s="50"/>
      <x:c r="D131" s="50"/>
      <x:c r="E131" s="50"/>
      <x:c r="F131" s="50"/>
      <x:c r="G131" s="50"/>
      <x:c r="H131" s="50"/>
      <x:c r="I131" s="50"/>
      <x:c r="J131" s="50"/>
      <x:c r="K131" s="50"/>
      <x:c r="L131" s="50"/>
      <x:c r="M131" s="50"/>
      <x:c r="N131" s="50"/>
      <x:c r="O131" s="50"/>
      <x:c r="P131" s="50"/>
      <x:c r="Q131" s="50"/>
      <x:c r="R131" s="50"/>
      <x:c r="S131" s="50"/>
      <x:c r="T131" s="50"/>
      <x:c r="U131" s="50"/>
      <x:c r="V131" s="50"/>
      <x:c r="W131" s="50"/>
      <x:c r="X131" s="50"/>
      <x:c r="Y131" s="50"/>
      <x:c r="Z131" s="50"/>
    </x:row>
    <x:row r="132">
      <x:c r="A132" s="50"/>
      <x:c r="B132" s="50"/>
      <x:c r="C132" s="50"/>
      <x:c r="D132" s="50"/>
      <x:c r="E132" s="50"/>
      <x:c r="F132" s="50"/>
      <x:c r="G132" s="50"/>
      <x:c r="H132" s="50"/>
      <x:c r="I132" s="50"/>
      <x:c r="J132" s="50"/>
      <x:c r="K132" s="50"/>
      <x:c r="L132" s="50"/>
      <x:c r="M132" s="50"/>
      <x:c r="N132" s="50"/>
      <x:c r="O132" s="50"/>
      <x:c r="P132" s="50"/>
      <x:c r="Q132" s="50"/>
      <x:c r="R132" s="50"/>
      <x:c r="S132" s="50"/>
      <x:c r="T132" s="50"/>
      <x:c r="U132" s="50"/>
      <x:c r="V132" s="50"/>
      <x:c r="W132" s="50"/>
      <x:c r="X132" s="50"/>
      <x:c r="Y132" s="50"/>
      <x:c r="Z132" s="50"/>
    </x:row>
    <x:row r="133">
      <x:c r="A133" s="50"/>
      <x:c r="B133" s="50"/>
      <x:c r="C133" s="50"/>
      <x:c r="D133" s="50"/>
      <x:c r="E133" s="50"/>
      <x:c r="F133" s="50"/>
      <x:c r="G133" s="50"/>
      <x:c r="H133" s="50"/>
      <x:c r="I133" s="50"/>
      <x:c r="J133" s="50"/>
      <x:c r="K133" s="50"/>
      <x:c r="L133" s="50"/>
      <x:c r="M133" s="50"/>
      <x:c r="N133" s="50"/>
      <x:c r="O133" s="50"/>
      <x:c r="P133" s="50"/>
      <x:c r="Q133" s="50"/>
      <x:c r="R133" s="50"/>
      <x:c r="S133" s="50"/>
      <x:c r="T133" s="50"/>
      <x:c r="U133" s="50"/>
      <x:c r="V133" s="50"/>
      <x:c r="W133" s="50"/>
      <x:c r="X133" s="50"/>
      <x:c r="Y133" s="50"/>
      <x:c r="Z133" s="50"/>
    </x:row>
    <x:row r="134">
      <x:c r="A134" s="50"/>
      <x:c r="B134" s="50"/>
      <x:c r="C134" s="50"/>
      <x:c r="D134" s="50"/>
      <x:c r="E134" s="50"/>
      <x:c r="F134" s="50"/>
      <x:c r="G134" s="50"/>
      <x:c r="H134" s="50"/>
      <x:c r="I134" s="50"/>
      <x:c r="J134" s="50"/>
      <x:c r="K134" s="50"/>
      <x:c r="L134" s="50"/>
      <x:c r="M134" s="50"/>
      <x:c r="N134" s="50"/>
      <x:c r="O134" s="50"/>
      <x:c r="P134" s="50"/>
      <x:c r="Q134" s="50"/>
      <x:c r="R134" s="50"/>
      <x:c r="S134" s="50"/>
      <x:c r="T134" s="50"/>
      <x:c r="U134" s="50"/>
      <x:c r="V134" s="50"/>
      <x:c r="W134" s="50"/>
      <x:c r="X134" s="50"/>
      <x:c r="Y134" s="50"/>
      <x:c r="Z134" s="50"/>
    </x:row>
    <x:row r="135">
      <x:c r="A135" s="50"/>
      <x:c r="B135" s="50"/>
      <x:c r="C135" s="50"/>
      <x:c r="D135" s="50"/>
      <x:c r="E135" s="50"/>
      <x:c r="F135" s="50"/>
      <x:c r="G135" s="50"/>
      <x:c r="H135" s="50"/>
      <x:c r="I135" s="50"/>
      <x:c r="J135" s="50"/>
      <x:c r="K135" s="50"/>
      <x:c r="L135" s="50"/>
      <x:c r="M135" s="50"/>
      <x:c r="N135" s="50"/>
      <x:c r="O135" s="50"/>
      <x:c r="P135" s="50"/>
      <x:c r="Q135" s="50"/>
      <x:c r="R135" s="50"/>
      <x:c r="S135" s="50"/>
      <x:c r="T135" s="50"/>
      <x:c r="U135" s="50"/>
      <x:c r="V135" s="50"/>
      <x:c r="W135" s="50"/>
      <x:c r="X135" s="50"/>
      <x:c r="Y135" s="50"/>
      <x:c r="Z135" s="50"/>
    </x:row>
    <x:row r="136">
      <x:c r="A136" s="50"/>
      <x:c r="B136" s="50"/>
      <x:c r="C136" s="50"/>
      <x:c r="D136" s="50"/>
      <x:c r="E136" s="50"/>
      <x:c r="F136" s="50"/>
      <x:c r="G136" s="50"/>
      <x:c r="H136" s="50"/>
      <x:c r="I136" s="50"/>
      <x:c r="J136" s="50"/>
      <x:c r="K136" s="50"/>
      <x:c r="L136" s="50"/>
      <x:c r="M136" s="50"/>
      <x:c r="N136" s="50"/>
      <x:c r="O136" s="50"/>
      <x:c r="P136" s="50"/>
      <x:c r="Q136" s="50"/>
      <x:c r="R136" s="50"/>
      <x:c r="S136" s="50"/>
      <x:c r="T136" s="50"/>
      <x:c r="U136" s="50"/>
      <x:c r="V136" s="50"/>
      <x:c r="W136" s="50"/>
      <x:c r="X136" s="50"/>
      <x:c r="Y136" s="50"/>
      <x:c r="Z136" s="50"/>
    </x:row>
    <x:row r="137">
      <x:c r="A137" s="50"/>
      <x:c r="B137" s="50"/>
      <x:c r="C137" s="50"/>
      <x:c r="D137" s="50"/>
      <x:c r="E137" s="50"/>
      <x:c r="F137" s="50"/>
      <x:c r="G137" s="50"/>
      <x:c r="H137" s="50"/>
      <x:c r="I137" s="50"/>
      <x:c r="J137" s="50"/>
      <x:c r="K137" s="50"/>
      <x:c r="L137" s="50"/>
      <x:c r="M137" s="50"/>
      <x:c r="N137" s="50"/>
      <x:c r="O137" s="50"/>
      <x:c r="P137" s="50"/>
      <x:c r="Q137" s="50"/>
      <x:c r="R137" s="50"/>
      <x:c r="S137" s="50"/>
      <x:c r="T137" s="50"/>
      <x:c r="U137" s="50"/>
      <x:c r="V137" s="50"/>
      <x:c r="W137" s="50"/>
      <x:c r="X137" s="50"/>
      <x:c r="Y137" s="50"/>
      <x:c r="Z137" s="50"/>
    </x:row>
    <x:row r="138">
      <x:c r="A138" s="50"/>
      <x:c r="B138" s="50"/>
      <x:c r="C138" s="50"/>
      <x:c r="D138" s="50"/>
      <x:c r="E138" s="50"/>
      <x:c r="F138" s="50"/>
      <x:c r="G138" s="50"/>
      <x:c r="H138" s="50"/>
      <x:c r="I138" s="50"/>
      <x:c r="J138" s="50"/>
      <x:c r="K138" s="50"/>
      <x:c r="L138" s="50"/>
      <x:c r="M138" s="50"/>
      <x:c r="N138" s="50"/>
      <x:c r="O138" s="50"/>
      <x:c r="P138" s="50"/>
      <x:c r="Q138" s="50"/>
      <x:c r="R138" s="50"/>
      <x:c r="S138" s="50"/>
      <x:c r="T138" s="50"/>
      <x:c r="U138" s="50"/>
      <x:c r="V138" s="50"/>
      <x:c r="W138" s="50"/>
      <x:c r="X138" s="50"/>
      <x:c r="Y138" s="50"/>
      <x:c r="Z138" s="50"/>
    </x:row>
    <x:row r="139">
      <x:c r="A139" s="50"/>
      <x:c r="B139" s="50"/>
      <x:c r="C139" s="50"/>
      <x:c r="D139" s="50"/>
      <x:c r="E139" s="50"/>
      <x:c r="F139" s="50"/>
      <x:c r="G139" s="50"/>
      <x:c r="H139" s="50"/>
      <x:c r="I139" s="50"/>
      <x:c r="J139" s="50"/>
      <x:c r="K139" s="50"/>
      <x:c r="L139" s="50"/>
      <x:c r="M139" s="50"/>
      <x:c r="N139" s="50"/>
      <x:c r="O139" s="50"/>
      <x:c r="P139" s="50"/>
      <x:c r="Q139" s="50"/>
      <x:c r="R139" s="50"/>
      <x:c r="S139" s="50"/>
      <x:c r="T139" s="50"/>
      <x:c r="U139" s="50"/>
      <x:c r="V139" s="50"/>
      <x:c r="W139" s="50"/>
      <x:c r="X139" s="50"/>
      <x:c r="Y139" s="50"/>
      <x:c r="Z139" s="50"/>
    </x:row>
    <x:row r="140">
      <x:c r="A140" s="50"/>
      <x:c r="B140" s="50"/>
      <x:c r="C140" s="50"/>
      <x:c r="D140" s="50"/>
      <x:c r="E140" s="50"/>
      <x:c r="F140" s="50"/>
      <x:c r="G140" s="50"/>
      <x:c r="H140" s="50"/>
      <x:c r="I140" s="50"/>
      <x:c r="J140" s="50"/>
      <x:c r="K140" s="50"/>
      <x:c r="L140" s="50"/>
      <x:c r="M140" s="50"/>
      <x:c r="N140" s="50"/>
      <x:c r="O140" s="50"/>
      <x:c r="P140" s="50"/>
      <x:c r="Q140" s="50"/>
      <x:c r="R140" s="50"/>
      <x:c r="S140" s="50"/>
      <x:c r="T140" s="50"/>
      <x:c r="U140" s="50"/>
      <x:c r="V140" s="50"/>
      <x:c r="W140" s="50"/>
      <x:c r="X140" s="50"/>
      <x:c r="Y140" s="50"/>
      <x:c r="Z140" s="50"/>
    </x:row>
    <x:row r="141">
      <x:c r="A141" s="50"/>
      <x:c r="B141" s="50"/>
      <x:c r="C141" s="50"/>
      <x:c r="D141" s="50"/>
      <x:c r="E141" s="50"/>
      <x:c r="F141" s="50"/>
      <x:c r="G141" s="50"/>
      <x:c r="H141" s="50"/>
      <x:c r="I141" s="50"/>
      <x:c r="J141" s="50"/>
      <x:c r="K141" s="50"/>
      <x:c r="L141" s="50"/>
      <x:c r="M141" s="50"/>
      <x:c r="N141" s="50"/>
      <x:c r="O141" s="50"/>
      <x:c r="P141" s="50"/>
      <x:c r="Q141" s="50"/>
      <x:c r="R141" s="50"/>
      <x:c r="S141" s="50"/>
      <x:c r="T141" s="50"/>
      <x:c r="U141" s="50"/>
      <x:c r="V141" s="50"/>
      <x:c r="W141" s="50"/>
      <x:c r="X141" s="50"/>
      <x:c r="Y141" s="50"/>
      <x:c r="Z141" s="50"/>
    </x:row>
    <x:row r="142">
      <x:c r="A142" s="50"/>
      <x:c r="B142" s="50"/>
      <x:c r="C142" s="50"/>
      <x:c r="D142" s="50"/>
      <x:c r="E142" s="50"/>
      <x:c r="F142" s="50"/>
      <x:c r="G142" s="50"/>
      <x:c r="H142" s="50"/>
      <x:c r="I142" s="50"/>
      <x:c r="J142" s="50"/>
      <x:c r="K142" s="50"/>
      <x:c r="L142" s="50"/>
      <x:c r="M142" s="50"/>
      <x:c r="N142" s="50"/>
      <x:c r="O142" s="50"/>
      <x:c r="P142" s="50"/>
      <x:c r="Q142" s="50"/>
      <x:c r="R142" s="50"/>
      <x:c r="S142" s="50"/>
      <x:c r="T142" s="50"/>
      <x:c r="U142" s="50"/>
      <x:c r="V142" s="50"/>
      <x:c r="W142" s="50"/>
      <x:c r="X142" s="50"/>
      <x:c r="Y142" s="50"/>
      <x:c r="Z142" s="50"/>
    </x:row>
    <x:row r="143">
      <x:c r="A143" s="50"/>
      <x:c r="B143" s="50"/>
      <x:c r="C143" s="50"/>
      <x:c r="D143" s="50"/>
      <x:c r="E143" s="50"/>
      <x:c r="F143" s="50"/>
      <x:c r="G143" s="50"/>
      <x:c r="H143" s="50"/>
      <x:c r="I143" s="50"/>
      <x:c r="J143" s="50"/>
      <x:c r="K143" s="50"/>
      <x:c r="L143" s="50"/>
      <x:c r="M143" s="50"/>
      <x:c r="N143" s="50"/>
      <x:c r="O143" s="50"/>
      <x:c r="P143" s="50"/>
      <x:c r="Q143" s="50"/>
      <x:c r="R143" s="50"/>
      <x:c r="S143" s="50"/>
      <x:c r="T143" s="50"/>
      <x:c r="U143" s="50"/>
      <x:c r="V143" s="50"/>
      <x:c r="W143" s="50"/>
      <x:c r="X143" s="50"/>
      <x:c r="Y143" s="50"/>
      <x:c r="Z143" s="50"/>
    </x:row>
    <x:row r="144">
      <x:c r="A144" s="50"/>
      <x:c r="B144" s="50"/>
      <x:c r="C144" s="50"/>
      <x:c r="D144" s="50"/>
      <x:c r="E144" s="50"/>
      <x:c r="F144" s="50"/>
      <x:c r="G144" s="50"/>
      <x:c r="H144" s="50"/>
      <x:c r="I144" s="50"/>
      <x:c r="J144" s="50"/>
      <x:c r="K144" s="50"/>
      <x:c r="L144" s="50"/>
      <x:c r="M144" s="50"/>
      <x:c r="N144" s="50"/>
      <x:c r="O144" s="50"/>
      <x:c r="P144" s="50"/>
      <x:c r="Q144" s="50"/>
      <x:c r="R144" s="50"/>
      <x:c r="S144" s="50"/>
      <x:c r="T144" s="50"/>
      <x:c r="U144" s="50"/>
      <x:c r="V144" s="50"/>
      <x:c r="W144" s="50"/>
      <x:c r="X144" s="50"/>
      <x:c r="Y144" s="50"/>
      <x:c r="Z144" s="50"/>
    </x:row>
    <x:row r="145">
      <x:c r="A145" s="50"/>
      <x:c r="B145" s="50"/>
      <x:c r="C145" s="50"/>
      <x:c r="D145" s="50"/>
      <x:c r="E145" s="50"/>
      <x:c r="F145" s="50"/>
      <x:c r="G145" s="50"/>
      <x:c r="H145" s="50"/>
      <x:c r="I145" s="50"/>
      <x:c r="J145" s="50"/>
      <x:c r="K145" s="50"/>
      <x:c r="L145" s="50"/>
      <x:c r="M145" s="50"/>
      <x:c r="N145" s="50"/>
      <x:c r="O145" s="50"/>
      <x:c r="P145" s="50"/>
      <x:c r="Q145" s="50"/>
      <x:c r="R145" s="50"/>
      <x:c r="S145" s="50"/>
      <x:c r="T145" s="50"/>
      <x:c r="U145" s="50"/>
      <x:c r="V145" s="50"/>
      <x:c r="W145" s="50"/>
      <x:c r="X145" s="50"/>
      <x:c r="Y145" s="50"/>
      <x:c r="Z145" s="50"/>
    </x:row>
    <x:row r="146">
      <x:c r="A146" s="50"/>
      <x:c r="B146" s="50"/>
      <x:c r="C146" s="50"/>
      <x:c r="D146" s="50"/>
      <x:c r="E146" s="50"/>
      <x:c r="F146" s="50"/>
      <x:c r="G146" s="50"/>
      <x:c r="H146" s="50"/>
      <x:c r="I146" s="50"/>
      <x:c r="J146" s="50"/>
      <x:c r="K146" s="50"/>
      <x:c r="L146" s="50"/>
      <x:c r="M146" s="50"/>
      <x:c r="N146" s="50"/>
      <x:c r="O146" s="50"/>
      <x:c r="P146" s="50"/>
      <x:c r="Q146" s="50"/>
      <x:c r="R146" s="50"/>
      <x:c r="S146" s="50"/>
      <x:c r="T146" s="50"/>
      <x:c r="U146" s="50"/>
      <x:c r="V146" s="50"/>
      <x:c r="W146" s="50"/>
      <x:c r="X146" s="50"/>
      <x:c r="Y146" s="50"/>
      <x:c r="Z146" s="50"/>
    </x:row>
    <x:row r="147">
      <x:c r="A147" s="50"/>
      <x:c r="B147" s="50"/>
      <x:c r="C147" s="50"/>
      <x:c r="D147" s="50"/>
      <x:c r="E147" s="50"/>
      <x:c r="F147" s="50"/>
      <x:c r="G147" s="50"/>
      <x:c r="H147" s="50"/>
      <x:c r="I147" s="50"/>
      <x:c r="J147" s="50"/>
      <x:c r="K147" s="50"/>
      <x:c r="L147" s="50"/>
      <x:c r="M147" s="50"/>
      <x:c r="N147" s="50"/>
      <x:c r="O147" s="50"/>
      <x:c r="P147" s="50"/>
      <x:c r="Q147" s="50"/>
      <x:c r="R147" s="50"/>
      <x:c r="S147" s="50"/>
      <x:c r="T147" s="50"/>
      <x:c r="U147" s="50"/>
      <x:c r="V147" s="50"/>
      <x:c r="W147" s="50"/>
      <x:c r="X147" s="50"/>
      <x:c r="Y147" s="50"/>
      <x:c r="Z147" s="50"/>
    </x:row>
    <x:row r="148">
      <x:c r="A148" s="50"/>
      <x:c r="B148" s="50"/>
      <x:c r="C148" s="50"/>
      <x:c r="D148" s="50"/>
      <x:c r="E148" s="50"/>
      <x:c r="F148" s="50"/>
      <x:c r="G148" s="50"/>
      <x:c r="H148" s="50"/>
      <x:c r="I148" s="50"/>
      <x:c r="J148" s="50"/>
      <x:c r="K148" s="50"/>
      <x:c r="L148" s="50"/>
      <x:c r="M148" s="50"/>
      <x:c r="N148" s="50"/>
      <x:c r="O148" s="50"/>
      <x:c r="P148" s="50"/>
      <x:c r="Q148" s="50"/>
      <x:c r="R148" s="50"/>
      <x:c r="S148" s="50"/>
      <x:c r="T148" s="50"/>
      <x:c r="U148" s="50"/>
      <x:c r="V148" s="50"/>
      <x:c r="W148" s="50"/>
      <x:c r="X148" s="50"/>
      <x:c r="Y148" s="50"/>
      <x:c r="Z148" s="50"/>
    </x:row>
    <x:row r="149">
      <x:c r="A149" s="50"/>
      <x:c r="B149" s="50"/>
      <x:c r="C149" s="50"/>
      <x:c r="D149" s="50"/>
      <x:c r="E149" s="50"/>
      <x:c r="F149" s="50"/>
      <x:c r="G149" s="50"/>
      <x:c r="H149" s="50"/>
      <x:c r="I149" s="50"/>
      <x:c r="J149" s="50"/>
      <x:c r="K149" s="50"/>
      <x:c r="L149" s="50"/>
      <x:c r="M149" s="50"/>
      <x:c r="N149" s="50"/>
      <x:c r="O149" s="50"/>
      <x:c r="P149" s="50"/>
      <x:c r="Q149" s="50"/>
      <x:c r="R149" s="50"/>
      <x:c r="S149" s="50"/>
      <x:c r="T149" s="50"/>
      <x:c r="U149" s="50"/>
      <x:c r="V149" s="50"/>
      <x:c r="W149" s="50"/>
      <x:c r="X149" s="50"/>
      <x:c r="Y149" s="50"/>
      <x:c r="Z149" s="50"/>
    </x:row>
    <x:row r="150">
      <x:c r="A150" s="50"/>
      <x:c r="B150" s="50"/>
      <x:c r="C150" s="50"/>
      <x:c r="D150" s="50"/>
      <x:c r="E150" s="50"/>
      <x:c r="F150" s="50"/>
      <x:c r="G150" s="50"/>
      <x:c r="H150" s="50"/>
      <x:c r="I150" s="50"/>
      <x:c r="J150" s="50"/>
      <x:c r="K150" s="50"/>
      <x:c r="L150" s="50"/>
      <x:c r="M150" s="50"/>
      <x:c r="N150" s="50"/>
      <x:c r="O150" s="50"/>
      <x:c r="P150" s="50"/>
      <x:c r="Q150" s="50"/>
      <x:c r="R150" s="50"/>
      <x:c r="S150" s="50"/>
      <x:c r="T150" s="50"/>
      <x:c r="U150" s="50"/>
      <x:c r="V150" s="50"/>
      <x:c r="W150" s="50"/>
      <x:c r="X150" s="50"/>
      <x:c r="Y150" s="50"/>
      <x:c r="Z150" s="50"/>
    </x:row>
    <x:row r="151">
      <x:c r="A151" s="50"/>
      <x:c r="B151" s="50"/>
      <x:c r="C151" s="50"/>
      <x:c r="D151" s="50"/>
      <x:c r="E151" s="50"/>
      <x:c r="F151" s="50"/>
      <x:c r="G151" s="50"/>
      <x:c r="H151" s="50"/>
      <x:c r="I151" s="50"/>
      <x:c r="J151" s="50"/>
      <x:c r="K151" s="50"/>
      <x:c r="L151" s="50"/>
      <x:c r="M151" s="50"/>
      <x:c r="N151" s="50"/>
      <x:c r="O151" s="50"/>
      <x:c r="P151" s="50"/>
      <x:c r="Q151" s="50"/>
      <x:c r="R151" s="50"/>
      <x:c r="S151" s="50"/>
      <x:c r="T151" s="50"/>
      <x:c r="U151" s="50"/>
      <x:c r="V151" s="50"/>
      <x:c r="W151" s="50"/>
      <x:c r="X151" s="50"/>
      <x:c r="Y151" s="50"/>
      <x:c r="Z151" s="50"/>
    </x:row>
    <x:row r="152">
      <x:c r="A152" s="50"/>
      <x:c r="B152" s="50"/>
      <x:c r="C152" s="50"/>
      <x:c r="D152" s="50"/>
      <x:c r="E152" s="50"/>
      <x:c r="F152" s="50"/>
      <x:c r="G152" s="50"/>
      <x:c r="H152" s="50"/>
      <x:c r="I152" s="50"/>
      <x:c r="J152" s="50"/>
      <x:c r="K152" s="50"/>
      <x:c r="L152" s="50"/>
      <x:c r="M152" s="50"/>
      <x:c r="N152" s="50"/>
      <x:c r="O152" s="50"/>
      <x:c r="P152" s="50"/>
      <x:c r="Q152" s="50"/>
      <x:c r="R152" s="50"/>
      <x:c r="S152" s="50"/>
      <x:c r="T152" s="50"/>
      <x:c r="U152" s="50"/>
      <x:c r="V152" s="50"/>
      <x:c r="W152" s="50"/>
      <x:c r="X152" s="50"/>
      <x:c r="Y152" s="50"/>
      <x:c r="Z152" s="50"/>
    </x:row>
    <x:row r="153">
      <x:c r="A153" s="50"/>
      <x:c r="B153" s="50"/>
      <x:c r="C153" s="50"/>
      <x:c r="D153" s="50"/>
      <x:c r="E153" s="50"/>
      <x:c r="F153" s="50"/>
      <x:c r="G153" s="50"/>
      <x:c r="H153" s="50"/>
      <x:c r="I153" s="50"/>
      <x:c r="J153" s="50"/>
      <x:c r="K153" s="50"/>
      <x:c r="L153" s="50"/>
      <x:c r="M153" s="50"/>
      <x:c r="N153" s="50"/>
      <x:c r="O153" s="50"/>
      <x:c r="P153" s="50"/>
      <x:c r="Q153" s="50"/>
      <x:c r="R153" s="50"/>
      <x:c r="S153" s="50"/>
      <x:c r="T153" s="50"/>
      <x:c r="U153" s="50"/>
      <x:c r="V153" s="50"/>
      <x:c r="W153" s="50"/>
      <x:c r="X153" s="50"/>
      <x:c r="Y153" s="50"/>
      <x:c r="Z153" s="50"/>
    </x:row>
    <x:row r="154">
      <x:c r="A154" s="50"/>
      <x:c r="B154" s="50"/>
      <x:c r="C154" s="50"/>
      <x:c r="D154" s="50"/>
      <x:c r="E154" s="50"/>
      <x:c r="F154" s="50"/>
      <x:c r="G154" s="50"/>
      <x:c r="H154" s="50"/>
      <x:c r="I154" s="50"/>
      <x:c r="J154" s="50"/>
      <x:c r="K154" s="50"/>
      <x:c r="L154" s="50"/>
      <x:c r="M154" s="50"/>
      <x:c r="N154" s="50"/>
      <x:c r="O154" s="50"/>
      <x:c r="P154" s="50"/>
      <x:c r="Q154" s="50"/>
      <x:c r="R154" s="50"/>
      <x:c r="S154" s="50"/>
      <x:c r="T154" s="50"/>
      <x:c r="U154" s="50"/>
      <x:c r="V154" s="50"/>
      <x:c r="W154" s="50"/>
      <x:c r="X154" s="50"/>
      <x:c r="Y154" s="50"/>
      <x:c r="Z154" s="50"/>
    </x:row>
    <x:row r="155">
      <x:c r="A155" s="50"/>
      <x:c r="B155" s="50"/>
      <x:c r="C155" s="50"/>
      <x:c r="D155" s="50"/>
      <x:c r="E155" s="50"/>
      <x:c r="F155" s="50"/>
      <x:c r="G155" s="50"/>
      <x:c r="H155" s="50"/>
      <x:c r="I155" s="50"/>
      <x:c r="J155" s="50"/>
      <x:c r="K155" s="50"/>
      <x:c r="L155" s="50"/>
      <x:c r="M155" s="50"/>
      <x:c r="N155" s="50"/>
      <x:c r="O155" s="50"/>
      <x:c r="P155" s="50"/>
      <x:c r="Q155" s="50"/>
      <x:c r="R155" s="50"/>
      <x:c r="S155" s="50"/>
      <x:c r="T155" s="50"/>
      <x:c r="U155" s="50"/>
      <x:c r="V155" s="50"/>
      <x:c r="W155" s="50"/>
      <x:c r="X155" s="50"/>
      <x:c r="Y155" s="50"/>
      <x:c r="Z155" s="50"/>
    </x:row>
    <x:row r="156">
      <x:c r="A156" s="50"/>
      <x:c r="B156" s="50"/>
      <x:c r="C156" s="50"/>
      <x:c r="D156" s="50"/>
      <x:c r="E156" s="50"/>
      <x:c r="F156" s="50"/>
      <x:c r="G156" s="50"/>
      <x:c r="H156" s="50"/>
      <x:c r="I156" s="50"/>
      <x:c r="J156" s="50"/>
      <x:c r="K156" s="50"/>
      <x:c r="L156" s="50"/>
      <x:c r="M156" s="50"/>
      <x:c r="N156" s="50"/>
      <x:c r="O156" s="50"/>
      <x:c r="P156" s="50"/>
      <x:c r="Q156" s="50"/>
      <x:c r="R156" s="50"/>
      <x:c r="S156" s="50"/>
      <x:c r="T156" s="50"/>
      <x:c r="U156" s="50"/>
      <x:c r="V156" s="50"/>
      <x:c r="W156" s="50"/>
      <x:c r="X156" s="50"/>
      <x:c r="Y156" s="50"/>
      <x:c r="Z156" s="50"/>
    </x:row>
    <x:row r="157">
      <x:c r="A157" s="50"/>
      <x:c r="B157" s="50"/>
      <x:c r="C157" s="50"/>
      <x:c r="D157" s="50"/>
      <x:c r="E157" s="50"/>
      <x:c r="F157" s="50"/>
      <x:c r="G157" s="50"/>
      <x:c r="H157" s="50"/>
      <x:c r="I157" s="50"/>
      <x:c r="J157" s="50"/>
      <x:c r="K157" s="50"/>
      <x:c r="L157" s="50"/>
      <x:c r="M157" s="50"/>
      <x:c r="N157" s="50"/>
      <x:c r="O157" s="50"/>
      <x:c r="P157" s="50"/>
      <x:c r="Q157" s="50"/>
      <x:c r="R157" s="50"/>
      <x:c r="S157" s="50"/>
      <x:c r="T157" s="50"/>
      <x:c r="U157" s="50"/>
      <x:c r="V157" s="50"/>
      <x:c r="W157" s="50"/>
      <x:c r="X157" s="50"/>
      <x:c r="Y157" s="50"/>
      <x:c r="Z157" s="50"/>
    </x:row>
    <x:row r="158">
      <x:c r="A158" s="50"/>
      <x:c r="B158" s="50"/>
      <x:c r="C158" s="50"/>
      <x:c r="D158" s="50"/>
      <x:c r="E158" s="50"/>
      <x:c r="F158" s="50"/>
      <x:c r="G158" s="50"/>
      <x:c r="H158" s="50"/>
      <x:c r="I158" s="50"/>
      <x:c r="J158" s="50"/>
      <x:c r="K158" s="50"/>
      <x:c r="L158" s="50"/>
      <x:c r="M158" s="50"/>
      <x:c r="N158" s="50"/>
      <x:c r="O158" s="50"/>
      <x:c r="P158" s="50"/>
      <x:c r="Q158" s="50"/>
      <x:c r="R158" s="50"/>
      <x:c r="S158" s="50"/>
      <x:c r="T158" s="50"/>
      <x:c r="U158" s="50"/>
      <x:c r="V158" s="50"/>
      <x:c r="W158" s="50"/>
      <x:c r="X158" s="50"/>
      <x:c r="Y158" s="50"/>
      <x:c r="Z158" s="50"/>
    </x:row>
    <x:row r="159">
      <x:c r="A159" s="50"/>
      <x:c r="B159" s="50"/>
      <x:c r="C159" s="50"/>
      <x:c r="D159" s="50"/>
      <x:c r="E159" s="50"/>
      <x:c r="F159" s="50"/>
      <x:c r="G159" s="50"/>
      <x:c r="H159" s="50"/>
      <x:c r="I159" s="50"/>
      <x:c r="J159" s="50"/>
      <x:c r="K159" s="50"/>
      <x:c r="L159" s="50"/>
      <x:c r="M159" s="50"/>
      <x:c r="N159" s="50"/>
      <x:c r="O159" s="50"/>
      <x:c r="P159" s="50"/>
      <x:c r="Q159" s="50"/>
      <x:c r="R159" s="50"/>
      <x:c r="S159" s="50"/>
      <x:c r="T159" s="50"/>
      <x:c r="U159" s="50"/>
      <x:c r="V159" s="50"/>
      <x:c r="W159" s="50"/>
      <x:c r="X159" s="50"/>
      <x:c r="Y159" s="50"/>
      <x:c r="Z159" s="50"/>
    </x:row>
    <x:row r="160">
      <x:c r="A160" s="50"/>
      <x:c r="B160" s="50"/>
      <x:c r="C160" s="50"/>
      <x:c r="D160" s="50"/>
      <x:c r="E160" s="50"/>
      <x:c r="F160" s="50"/>
      <x:c r="G160" s="50"/>
      <x:c r="H160" s="50"/>
      <x:c r="I160" s="50"/>
      <x:c r="J160" s="50"/>
      <x:c r="K160" s="50"/>
      <x:c r="L160" s="50"/>
      <x:c r="M160" s="50"/>
      <x:c r="N160" s="50"/>
      <x:c r="O160" s="50"/>
      <x:c r="P160" s="50"/>
      <x:c r="Q160" s="50"/>
      <x:c r="R160" s="50"/>
      <x:c r="S160" s="50"/>
      <x:c r="T160" s="50"/>
      <x:c r="U160" s="50"/>
      <x:c r="V160" s="50"/>
      <x:c r="W160" s="50"/>
      <x:c r="X160" s="50"/>
      <x:c r="Y160" s="50"/>
      <x:c r="Z160" s="50"/>
    </x:row>
    <x:row r="161">
      <x:c r="A161" s="50"/>
      <x:c r="B161" s="50"/>
      <x:c r="C161" s="50"/>
      <x:c r="D161" s="50"/>
      <x:c r="E161" s="50"/>
      <x:c r="F161" s="50"/>
      <x:c r="G161" s="50"/>
      <x:c r="H161" s="50"/>
      <x:c r="I161" s="50"/>
      <x:c r="J161" s="50"/>
      <x:c r="K161" s="50"/>
      <x:c r="L161" s="50"/>
      <x:c r="M161" s="50"/>
      <x:c r="N161" s="50"/>
      <x:c r="O161" s="50"/>
      <x:c r="P161" s="50"/>
      <x:c r="Q161" s="50"/>
      <x:c r="R161" s="50"/>
      <x:c r="S161" s="50"/>
      <x:c r="T161" s="50"/>
      <x:c r="U161" s="50"/>
      <x:c r="V161" s="50"/>
      <x:c r="W161" s="50"/>
      <x:c r="X161" s="50"/>
      <x:c r="Y161" s="50"/>
      <x:c r="Z161" s="50"/>
    </x:row>
    <x:row r="162">
      <x:c r="A162" s="50"/>
      <x:c r="B162" s="50"/>
      <x:c r="C162" s="50"/>
      <x:c r="D162" s="50"/>
      <x:c r="E162" s="50"/>
      <x:c r="F162" s="50"/>
      <x:c r="G162" s="50"/>
      <x:c r="H162" s="50"/>
      <x:c r="I162" s="50"/>
      <x:c r="J162" s="50"/>
      <x:c r="K162" s="50"/>
      <x:c r="L162" s="50"/>
      <x:c r="M162" s="50"/>
      <x:c r="N162" s="50"/>
      <x:c r="O162" s="50"/>
      <x:c r="P162" s="50"/>
      <x:c r="Q162" s="50"/>
      <x:c r="R162" s="50"/>
      <x:c r="S162" s="50"/>
      <x:c r="T162" s="50"/>
      <x:c r="U162" s="50"/>
      <x:c r="V162" s="50"/>
      <x:c r="W162" s="50"/>
      <x:c r="X162" s="50"/>
      <x:c r="Y162" s="50"/>
      <x:c r="Z162" s="50"/>
    </x:row>
    <x:row r="163">
      <x:c r="A163" s="50"/>
      <x:c r="B163" s="50"/>
      <x:c r="C163" s="50"/>
      <x:c r="D163" s="50"/>
      <x:c r="E163" s="50"/>
      <x:c r="F163" s="50"/>
      <x:c r="G163" s="50"/>
      <x:c r="H163" s="50"/>
      <x:c r="I163" s="50"/>
      <x:c r="J163" s="50"/>
      <x:c r="K163" s="50"/>
      <x:c r="L163" s="50"/>
      <x:c r="M163" s="50"/>
      <x:c r="N163" s="50"/>
      <x:c r="O163" s="50"/>
      <x:c r="P163" s="50"/>
      <x:c r="Q163" s="50"/>
      <x:c r="R163" s="50"/>
      <x:c r="S163" s="50"/>
      <x:c r="T163" s="50"/>
      <x:c r="U163" s="50"/>
      <x:c r="V163" s="50"/>
      <x:c r="W163" s="50"/>
      <x:c r="X163" s="50"/>
      <x:c r="Y163" s="50"/>
      <x:c r="Z163" s="50"/>
    </x:row>
    <x:row r="164">
      <x:c r="A164" s="50"/>
      <x:c r="B164" s="50"/>
      <x:c r="C164" s="50"/>
      <x:c r="D164" s="50"/>
      <x:c r="E164" s="50"/>
      <x:c r="F164" s="50"/>
      <x:c r="G164" s="50"/>
      <x:c r="H164" s="50"/>
      <x:c r="I164" s="50"/>
      <x:c r="J164" s="50"/>
      <x:c r="K164" s="50"/>
      <x:c r="L164" s="50"/>
      <x:c r="M164" s="50"/>
      <x:c r="N164" s="50"/>
      <x:c r="O164" s="50"/>
      <x:c r="P164" s="50"/>
      <x:c r="Q164" s="50"/>
      <x:c r="R164" s="50"/>
      <x:c r="S164" s="50"/>
      <x:c r="T164" s="50"/>
      <x:c r="U164" s="50"/>
      <x:c r="V164" s="50"/>
      <x:c r="W164" s="50"/>
      <x:c r="X164" s="50"/>
      <x:c r="Y164" s="50"/>
      <x:c r="Z164" s="50"/>
    </x:row>
    <x:row r="165">
      <x:c r="A165" s="50"/>
      <x:c r="B165" s="50"/>
      <x:c r="C165" s="50"/>
      <x:c r="D165" s="50"/>
      <x:c r="E165" s="50"/>
      <x:c r="F165" s="50"/>
      <x:c r="G165" s="50"/>
      <x:c r="H165" s="50"/>
      <x:c r="I165" s="50"/>
      <x:c r="J165" s="50"/>
      <x:c r="K165" s="50"/>
      <x:c r="L165" s="50"/>
      <x:c r="M165" s="50"/>
      <x:c r="N165" s="50"/>
      <x:c r="O165" s="50"/>
      <x:c r="P165" s="50"/>
      <x:c r="Q165" s="50"/>
      <x:c r="R165" s="50"/>
      <x:c r="S165" s="50"/>
      <x:c r="T165" s="50"/>
      <x:c r="U165" s="50"/>
      <x:c r="V165" s="50"/>
      <x:c r="W165" s="50"/>
      <x:c r="X165" s="50"/>
      <x:c r="Y165" s="50"/>
      <x:c r="Z165" s="50"/>
    </x:row>
    <x:row r="166">
      <x:c r="A166" s="50"/>
      <x:c r="B166" s="50"/>
      <x:c r="C166" s="50"/>
      <x:c r="D166" s="50"/>
      <x:c r="E166" s="50"/>
      <x:c r="F166" s="50"/>
      <x:c r="G166" s="50"/>
      <x:c r="H166" s="50"/>
      <x:c r="I166" s="50"/>
      <x:c r="J166" s="50"/>
      <x:c r="K166" s="50"/>
      <x:c r="L166" s="50"/>
      <x:c r="M166" s="50"/>
      <x:c r="N166" s="50"/>
      <x:c r="O166" s="50"/>
      <x:c r="P166" s="50"/>
      <x:c r="Q166" s="50"/>
      <x:c r="R166" s="50"/>
      <x:c r="S166" s="50"/>
      <x:c r="T166" s="50"/>
      <x:c r="U166" s="50"/>
      <x:c r="V166" s="50"/>
      <x:c r="W166" s="50"/>
      <x:c r="X166" s="50"/>
      <x:c r="Y166" s="50"/>
      <x:c r="Z166" s="50"/>
    </x:row>
    <x:row r="167">
      <x:c r="A167" s="50"/>
      <x:c r="B167" s="50"/>
      <x:c r="C167" s="50"/>
      <x:c r="D167" s="50"/>
      <x:c r="E167" s="50"/>
      <x:c r="F167" s="50"/>
      <x:c r="G167" s="50"/>
      <x:c r="H167" s="50"/>
      <x:c r="I167" s="50"/>
      <x:c r="J167" s="50"/>
      <x:c r="K167" s="50"/>
      <x:c r="L167" s="50"/>
      <x:c r="M167" s="50"/>
      <x:c r="N167" s="50"/>
      <x:c r="O167" s="50"/>
      <x:c r="P167" s="50"/>
      <x:c r="Q167" s="50"/>
      <x:c r="R167" s="50"/>
      <x:c r="S167" s="50"/>
      <x:c r="T167" s="50"/>
      <x:c r="U167" s="50"/>
      <x:c r="V167" s="50"/>
      <x:c r="W167" s="50"/>
      <x:c r="X167" s="50"/>
      <x:c r="Y167" s="50"/>
      <x:c r="Z167" s="50"/>
    </x:row>
    <x:row r="168">
      <x:c r="A168" s="50"/>
      <x:c r="B168" s="50"/>
      <x:c r="C168" s="50"/>
      <x:c r="D168" s="50"/>
      <x:c r="E168" s="50"/>
      <x:c r="F168" s="50"/>
      <x:c r="G168" s="50"/>
      <x:c r="H168" s="50"/>
      <x:c r="I168" s="50"/>
      <x:c r="J168" s="50"/>
      <x:c r="K168" s="50"/>
      <x:c r="L168" s="50"/>
      <x:c r="M168" s="50"/>
      <x:c r="N168" s="50"/>
      <x:c r="O168" s="50"/>
      <x:c r="P168" s="50"/>
      <x:c r="Q168" s="50"/>
      <x:c r="R168" s="50"/>
      <x:c r="S168" s="50"/>
      <x:c r="T168" s="50"/>
      <x:c r="U168" s="50"/>
      <x:c r="V168" s="50"/>
      <x:c r="W168" s="50"/>
      <x:c r="X168" s="50"/>
      <x:c r="Y168" s="50"/>
      <x:c r="Z168" s="50"/>
    </x:row>
    <x:row r="169">
      <x:c r="A169" s="50"/>
      <x:c r="B169" s="50"/>
      <x:c r="C169" s="50"/>
      <x:c r="D169" s="50"/>
      <x:c r="E169" s="50"/>
      <x:c r="F169" s="50"/>
      <x:c r="G169" s="50"/>
      <x:c r="H169" s="50"/>
      <x:c r="I169" s="50"/>
      <x:c r="J169" s="50"/>
      <x:c r="K169" s="50"/>
      <x:c r="L169" s="50"/>
      <x:c r="M169" s="50"/>
      <x:c r="N169" s="50"/>
      <x:c r="O169" s="50"/>
      <x:c r="P169" s="50"/>
      <x:c r="Q169" s="50"/>
      <x:c r="R169" s="50"/>
      <x:c r="S169" s="50"/>
      <x:c r="T169" s="50"/>
      <x:c r="U169" s="50"/>
      <x:c r="V169" s="50"/>
      <x:c r="W169" s="50"/>
      <x:c r="X169" s="50"/>
      <x:c r="Y169" s="50"/>
      <x:c r="Z169" s="50"/>
    </x:row>
    <x:row r="170">
      <x:c r="A170" s="50"/>
      <x:c r="B170" s="50"/>
      <x:c r="C170" s="50"/>
      <x:c r="D170" s="50"/>
      <x:c r="E170" s="50"/>
      <x:c r="F170" s="50"/>
      <x:c r="G170" s="50"/>
      <x:c r="H170" s="50"/>
      <x:c r="I170" s="50"/>
      <x:c r="J170" s="50"/>
      <x:c r="K170" s="50"/>
      <x:c r="L170" s="50"/>
      <x:c r="M170" s="50"/>
      <x:c r="N170" s="50"/>
      <x:c r="O170" s="50"/>
      <x:c r="P170" s="50"/>
      <x:c r="Q170" s="50"/>
      <x:c r="R170" s="50"/>
      <x:c r="S170" s="50"/>
      <x:c r="T170" s="50"/>
      <x:c r="U170" s="50"/>
      <x:c r="V170" s="50"/>
      <x:c r="W170" s="50"/>
      <x:c r="X170" s="50"/>
      <x:c r="Y170" s="50"/>
      <x:c r="Z170" s="50"/>
    </x:row>
    <x:row r="171">
      <x:c r="A171" s="50"/>
      <x:c r="B171" s="50"/>
      <x:c r="C171" s="50"/>
      <x:c r="D171" s="50"/>
      <x:c r="E171" s="50"/>
      <x:c r="F171" s="50"/>
      <x:c r="G171" s="50"/>
      <x:c r="H171" s="50"/>
      <x:c r="I171" s="50"/>
      <x:c r="J171" s="50"/>
      <x:c r="K171" s="50"/>
      <x:c r="L171" s="50"/>
      <x:c r="M171" s="50"/>
      <x:c r="N171" s="50"/>
      <x:c r="O171" s="50"/>
      <x:c r="P171" s="50"/>
      <x:c r="Q171" s="50"/>
      <x:c r="R171" s="50"/>
      <x:c r="S171" s="50"/>
      <x:c r="T171" s="50"/>
      <x:c r="U171" s="50"/>
      <x:c r="V171" s="50"/>
      <x:c r="W171" s="50"/>
      <x:c r="X171" s="50"/>
      <x:c r="Y171" s="50"/>
      <x:c r="Z171" s="50"/>
    </x:row>
    <x:row r="172">
      <x:c r="A172" s="50"/>
      <x:c r="B172" s="50"/>
      <x:c r="C172" s="50"/>
      <x:c r="D172" s="50"/>
      <x:c r="E172" s="50"/>
      <x:c r="F172" s="50"/>
      <x:c r="G172" s="50"/>
      <x:c r="H172" s="50"/>
      <x:c r="I172" s="50"/>
      <x:c r="J172" s="50"/>
      <x:c r="K172" s="50"/>
      <x:c r="L172" s="50"/>
      <x:c r="M172" s="50"/>
      <x:c r="N172" s="50"/>
      <x:c r="O172" s="50"/>
      <x:c r="P172" s="50"/>
      <x:c r="Q172" s="50"/>
      <x:c r="R172" s="50"/>
      <x:c r="S172" s="50"/>
      <x:c r="T172" s="50"/>
      <x:c r="U172" s="50"/>
      <x:c r="V172" s="50"/>
      <x:c r="W172" s="50"/>
      <x:c r="X172" s="50"/>
      <x:c r="Y172" s="50"/>
      <x:c r="Z172" s="50"/>
    </x:row>
    <x:row r="173">
      <x:c r="A173" s="50"/>
      <x:c r="B173" s="50"/>
      <x:c r="C173" s="50"/>
      <x:c r="D173" s="50"/>
      <x:c r="E173" s="50"/>
      <x:c r="F173" s="50"/>
      <x:c r="G173" s="50"/>
      <x:c r="H173" s="50"/>
      <x:c r="I173" s="50"/>
      <x:c r="J173" s="50"/>
      <x:c r="K173" s="50"/>
      <x:c r="L173" s="50"/>
      <x:c r="M173" s="50"/>
      <x:c r="N173" s="50"/>
      <x:c r="O173" s="50"/>
      <x:c r="P173" s="50"/>
      <x:c r="Q173" s="50"/>
      <x:c r="R173" s="50"/>
      <x:c r="S173" s="50"/>
      <x:c r="T173" s="50"/>
      <x:c r="U173" s="50"/>
      <x:c r="V173" s="50"/>
      <x:c r="W173" s="50"/>
      <x:c r="X173" s="50"/>
      <x:c r="Y173" s="50"/>
      <x:c r="Z173" s="50"/>
    </x:row>
    <x:row r="174">
      <x:c r="A174" s="50"/>
      <x:c r="B174" s="50"/>
      <x:c r="C174" s="50"/>
      <x:c r="D174" s="50"/>
      <x:c r="E174" s="50"/>
      <x:c r="F174" s="50"/>
      <x:c r="G174" s="50"/>
      <x:c r="H174" s="50"/>
      <x:c r="I174" s="50"/>
      <x:c r="J174" s="50"/>
      <x:c r="K174" s="50"/>
      <x:c r="L174" s="50"/>
      <x:c r="M174" s="50"/>
      <x:c r="N174" s="50"/>
      <x:c r="O174" s="50"/>
      <x:c r="P174" s="50"/>
      <x:c r="Q174" s="50"/>
      <x:c r="R174" s="50"/>
      <x:c r="S174" s="50"/>
      <x:c r="T174" s="50"/>
      <x:c r="U174" s="50"/>
      <x:c r="V174" s="50"/>
      <x:c r="W174" s="50"/>
      <x:c r="X174" s="50"/>
      <x:c r="Y174" s="50"/>
      <x:c r="Z174" s="50"/>
    </x:row>
    <x:row r="175">
      <x:c r="A175" s="50"/>
      <x:c r="B175" s="50"/>
      <x:c r="C175" s="50"/>
      <x:c r="D175" s="50"/>
      <x:c r="E175" s="50"/>
      <x:c r="F175" s="50"/>
      <x:c r="G175" s="50"/>
      <x:c r="H175" s="50"/>
      <x:c r="I175" s="50"/>
      <x:c r="J175" s="50"/>
      <x:c r="K175" s="50"/>
      <x:c r="L175" s="50"/>
      <x:c r="M175" s="50"/>
      <x:c r="N175" s="50"/>
      <x:c r="O175" s="50"/>
      <x:c r="P175" s="50"/>
      <x:c r="Q175" s="50"/>
      <x:c r="R175" s="50"/>
      <x:c r="S175" s="50"/>
      <x:c r="T175" s="50"/>
      <x:c r="U175" s="50"/>
      <x:c r="V175" s="50"/>
      <x:c r="W175" s="50"/>
      <x:c r="X175" s="50"/>
      <x:c r="Y175" s="50"/>
      <x:c r="Z175" s="50"/>
    </x:row>
    <x:row r="176">
      <x:c r="A176" s="50"/>
      <x:c r="B176" s="50"/>
      <x:c r="C176" s="50"/>
      <x:c r="D176" s="50"/>
      <x:c r="E176" s="50"/>
      <x:c r="F176" s="50"/>
      <x:c r="G176" s="50"/>
      <x:c r="H176" s="50"/>
      <x:c r="I176" s="50"/>
      <x:c r="J176" s="50"/>
      <x:c r="K176" s="50"/>
      <x:c r="L176" s="50"/>
      <x:c r="M176" s="50"/>
      <x:c r="N176" s="50"/>
      <x:c r="O176" s="50"/>
      <x:c r="P176" s="50"/>
      <x:c r="Q176" s="50"/>
      <x:c r="R176" s="50"/>
      <x:c r="S176" s="50"/>
      <x:c r="T176" s="50"/>
      <x:c r="U176" s="50"/>
      <x:c r="V176" s="50"/>
      <x:c r="W176" s="50"/>
      <x:c r="X176" s="50"/>
      <x:c r="Y176" s="50"/>
      <x:c r="Z176" s="50"/>
    </x:row>
    <x:row r="177">
      <x:c r="A177" s="50"/>
      <x:c r="B177" s="50"/>
      <x:c r="C177" s="50"/>
      <x:c r="D177" s="50"/>
      <x:c r="E177" s="50"/>
      <x:c r="F177" s="50"/>
      <x:c r="G177" s="50"/>
      <x:c r="H177" s="50"/>
      <x:c r="I177" s="50"/>
      <x:c r="J177" s="50"/>
      <x:c r="K177" s="50"/>
      <x:c r="L177" s="50"/>
      <x:c r="M177" s="50"/>
      <x:c r="N177" s="50"/>
      <x:c r="O177" s="50"/>
      <x:c r="P177" s="50"/>
      <x:c r="Q177" s="50"/>
      <x:c r="R177" s="50"/>
      <x:c r="S177" s="50"/>
      <x:c r="T177" s="50"/>
      <x:c r="U177" s="50"/>
      <x:c r="V177" s="50"/>
      <x:c r="W177" s="50"/>
      <x:c r="X177" s="50"/>
      <x:c r="Y177" s="50"/>
      <x:c r="Z177" s="50"/>
    </x:row>
    <x:row r="178">
      <x:c r="A178" s="50"/>
      <x:c r="B178" s="50"/>
      <x:c r="C178" s="50"/>
      <x:c r="D178" s="50"/>
      <x:c r="E178" s="50"/>
      <x:c r="F178" s="50"/>
      <x:c r="G178" s="50"/>
      <x:c r="H178" s="50"/>
      <x:c r="I178" s="50"/>
      <x:c r="J178" s="50"/>
      <x:c r="K178" s="50"/>
      <x:c r="L178" s="50"/>
      <x:c r="M178" s="50"/>
      <x:c r="N178" s="50"/>
      <x:c r="O178" s="50"/>
      <x:c r="P178" s="50"/>
      <x:c r="Q178" s="50"/>
      <x:c r="R178" s="50"/>
      <x:c r="S178" s="50"/>
      <x:c r="T178" s="50"/>
      <x:c r="U178" s="50"/>
      <x:c r="V178" s="50"/>
      <x:c r="W178" s="50"/>
      <x:c r="X178" s="50"/>
      <x:c r="Y178" s="50"/>
      <x:c r="Z178" s="50"/>
    </x:row>
    <x:row r="179">
      <x:c r="A179" s="50"/>
      <x:c r="B179" s="50"/>
      <x:c r="C179" s="50"/>
      <x:c r="D179" s="50"/>
      <x:c r="E179" s="50"/>
      <x:c r="F179" s="50"/>
      <x:c r="G179" s="50"/>
      <x:c r="H179" s="50"/>
      <x:c r="I179" s="50"/>
      <x:c r="J179" s="50"/>
      <x:c r="K179" s="50"/>
      <x:c r="L179" s="50"/>
      <x:c r="M179" s="50"/>
      <x:c r="N179" s="50"/>
      <x:c r="O179" s="50"/>
      <x:c r="P179" s="50"/>
      <x:c r="Q179" s="50"/>
      <x:c r="R179" s="50"/>
      <x:c r="S179" s="50"/>
      <x:c r="T179" s="50"/>
      <x:c r="U179" s="50"/>
      <x:c r="V179" s="50"/>
      <x:c r="W179" s="50"/>
      <x:c r="X179" s="50"/>
      <x:c r="Y179" s="50"/>
      <x:c r="Z179" s="50"/>
    </x:row>
    <x:row r="180">
      <x:c r="A180" s="50"/>
      <x:c r="B180" s="50"/>
      <x:c r="C180" s="50"/>
      <x:c r="D180" s="50"/>
      <x:c r="E180" s="50"/>
      <x:c r="F180" s="50"/>
      <x:c r="G180" s="50"/>
      <x:c r="H180" s="50"/>
      <x:c r="I180" s="50"/>
      <x:c r="J180" s="50"/>
      <x:c r="K180" s="50"/>
      <x:c r="L180" s="50"/>
      <x:c r="M180" s="50"/>
      <x:c r="N180" s="50"/>
      <x:c r="O180" s="50"/>
      <x:c r="P180" s="50"/>
      <x:c r="Q180" s="50"/>
      <x:c r="R180" s="50"/>
      <x:c r="S180" s="50"/>
      <x:c r="T180" s="50"/>
      <x:c r="U180" s="50"/>
      <x:c r="V180" s="50"/>
      <x:c r="W180" s="50"/>
      <x:c r="X180" s="50"/>
      <x:c r="Y180" s="50"/>
      <x:c r="Z180" s="50"/>
    </x:row>
    <x:row r="181">
      <x:c r="A181" s="50"/>
      <x:c r="B181" s="50"/>
      <x:c r="C181" s="50"/>
      <x:c r="D181" s="50"/>
      <x:c r="E181" s="50"/>
      <x:c r="F181" s="50"/>
      <x:c r="G181" s="50"/>
      <x:c r="H181" s="50"/>
      <x:c r="I181" s="50"/>
      <x:c r="J181" s="50"/>
      <x:c r="K181" s="50"/>
      <x:c r="L181" s="50"/>
      <x:c r="M181" s="50"/>
      <x:c r="N181" s="50"/>
      <x:c r="O181" s="50"/>
      <x:c r="P181" s="50"/>
      <x:c r="Q181" s="50"/>
      <x:c r="R181" s="50"/>
      <x:c r="S181" s="50"/>
      <x:c r="T181" s="50"/>
      <x:c r="U181" s="50"/>
      <x:c r="V181" s="50"/>
      <x:c r="W181" s="50"/>
      <x:c r="X181" s="50"/>
      <x:c r="Y181" s="50"/>
      <x:c r="Z181" s="50"/>
    </x:row>
    <x:row r="182">
      <x:c r="A182" s="50"/>
      <x:c r="B182" s="50"/>
      <x:c r="C182" s="50"/>
      <x:c r="D182" s="50"/>
      <x:c r="E182" s="50"/>
      <x:c r="F182" s="50"/>
      <x:c r="G182" s="50"/>
      <x:c r="H182" s="50"/>
      <x:c r="I182" s="50"/>
      <x:c r="J182" s="50"/>
      <x:c r="K182" s="50"/>
      <x:c r="L182" s="50"/>
      <x:c r="M182" s="50"/>
      <x:c r="N182" s="50"/>
      <x:c r="O182" s="50"/>
      <x:c r="P182" s="50"/>
      <x:c r="Q182" s="50"/>
      <x:c r="R182" s="50"/>
      <x:c r="S182" s="50"/>
      <x:c r="T182" s="50"/>
      <x:c r="U182" s="50"/>
      <x:c r="V182" s="50"/>
      <x:c r="W182" s="50"/>
      <x:c r="X182" s="50"/>
      <x:c r="Y182" s="50"/>
      <x:c r="Z182" s="50"/>
    </x:row>
    <x:row r="183">
      <x:c r="A183" s="50"/>
      <x:c r="B183" s="50"/>
      <x:c r="C183" s="50"/>
      <x:c r="D183" s="50"/>
      <x:c r="E183" s="50"/>
      <x:c r="F183" s="50"/>
      <x:c r="G183" s="50"/>
      <x:c r="H183" s="50"/>
      <x:c r="I183" s="50"/>
      <x:c r="J183" s="50"/>
      <x:c r="K183" s="50"/>
      <x:c r="L183" s="50"/>
      <x:c r="M183" s="50"/>
      <x:c r="N183" s="50"/>
      <x:c r="O183" s="50"/>
      <x:c r="P183" s="50"/>
      <x:c r="Q183" s="50"/>
      <x:c r="R183" s="50"/>
      <x:c r="S183" s="50"/>
      <x:c r="T183" s="50"/>
      <x:c r="U183" s="50"/>
      <x:c r="V183" s="50"/>
      <x:c r="W183" s="50"/>
      <x:c r="X183" s="50"/>
      <x:c r="Y183" s="50"/>
      <x:c r="Z183" s="50"/>
    </x:row>
    <x:row r="184">
      <x:c r="A184" s="50"/>
      <x:c r="B184" s="50"/>
      <x:c r="C184" s="50"/>
      <x:c r="D184" s="50"/>
      <x:c r="E184" s="50"/>
      <x:c r="F184" s="50"/>
      <x:c r="G184" s="50"/>
      <x:c r="H184" s="50"/>
      <x:c r="I184" s="50"/>
      <x:c r="J184" s="50"/>
      <x:c r="K184" s="50"/>
      <x:c r="L184" s="50"/>
      <x:c r="M184" s="50"/>
      <x:c r="N184" s="50"/>
      <x:c r="O184" s="50"/>
      <x:c r="P184" s="50"/>
      <x:c r="Q184" s="50"/>
      <x:c r="R184" s="50"/>
      <x:c r="S184" s="50"/>
      <x:c r="T184" s="50"/>
      <x:c r="U184" s="50"/>
      <x:c r="V184" s="50"/>
      <x:c r="W184" s="50"/>
      <x:c r="X184" s="50"/>
      <x:c r="Y184" s="50"/>
      <x:c r="Z184" s="50"/>
    </x:row>
    <x:row r="185">
      <x:c r="A185" s="50"/>
      <x:c r="B185" s="50"/>
      <x:c r="C185" s="50"/>
      <x:c r="D185" s="50"/>
      <x:c r="E185" s="50"/>
      <x:c r="F185" s="50"/>
      <x:c r="G185" s="50"/>
      <x:c r="H185" s="50"/>
      <x:c r="I185" s="50"/>
      <x:c r="J185" s="50"/>
      <x:c r="K185" s="50"/>
      <x:c r="L185" s="50"/>
      <x:c r="M185" s="50"/>
      <x:c r="N185" s="50"/>
      <x:c r="O185" s="50"/>
      <x:c r="P185" s="50"/>
      <x:c r="Q185" s="50"/>
      <x:c r="R185" s="50"/>
      <x:c r="S185" s="50"/>
      <x:c r="T185" s="50"/>
      <x:c r="U185" s="50"/>
      <x:c r="V185" s="50"/>
      <x:c r="W185" s="50"/>
      <x:c r="X185" s="50"/>
      <x:c r="Y185" s="50"/>
      <x:c r="Z185" s="50"/>
    </x:row>
    <x:row r="186">
      <x:c r="A186" s="50"/>
      <x:c r="B186" s="50"/>
      <x:c r="C186" s="50"/>
      <x:c r="D186" s="50"/>
      <x:c r="E186" s="50"/>
      <x:c r="F186" s="50"/>
      <x:c r="G186" s="50"/>
      <x:c r="H186" s="50"/>
      <x:c r="I186" s="50"/>
      <x:c r="J186" s="50"/>
      <x:c r="K186" s="50"/>
      <x:c r="L186" s="50"/>
      <x:c r="M186" s="50"/>
      <x:c r="N186" s="50"/>
      <x:c r="O186" s="50"/>
      <x:c r="P186" s="50"/>
      <x:c r="Q186" s="50"/>
      <x:c r="R186" s="50"/>
      <x:c r="S186" s="50"/>
      <x:c r="T186" s="50"/>
      <x:c r="U186" s="50"/>
      <x:c r="V186" s="50"/>
      <x:c r="W186" s="50"/>
      <x:c r="X186" s="50"/>
      <x:c r="Y186" s="50"/>
      <x:c r="Z186" s="50"/>
    </x:row>
    <x:row r="187">
      <x:c r="A187" s="50"/>
      <x:c r="B187" s="50"/>
      <x:c r="C187" s="50"/>
      <x:c r="D187" s="50"/>
      <x:c r="E187" s="50"/>
      <x:c r="F187" s="50"/>
      <x:c r="G187" s="50"/>
      <x:c r="H187" s="50"/>
      <x:c r="I187" s="50"/>
      <x:c r="J187" s="50"/>
      <x:c r="K187" s="50"/>
      <x:c r="L187" s="50"/>
      <x:c r="M187" s="50"/>
      <x:c r="N187" s="50"/>
      <x:c r="O187" s="50"/>
      <x:c r="P187" s="50"/>
      <x:c r="Q187" s="50"/>
      <x:c r="R187" s="50"/>
      <x:c r="S187" s="50"/>
      <x:c r="T187" s="50"/>
      <x:c r="U187" s="50"/>
      <x:c r="V187" s="50"/>
      <x:c r="W187" s="50"/>
      <x:c r="X187" s="50"/>
      <x:c r="Y187" s="50"/>
      <x:c r="Z187" s="50"/>
    </x:row>
    <x:row r="188">
      <x:c r="A188" s="50"/>
      <x:c r="B188" s="50"/>
      <x:c r="C188" s="50"/>
      <x:c r="D188" s="50"/>
      <x:c r="E188" s="50"/>
      <x:c r="F188" s="50"/>
      <x:c r="G188" s="50"/>
      <x:c r="H188" s="50"/>
      <x:c r="I188" s="50"/>
      <x:c r="J188" s="50"/>
      <x:c r="K188" s="50"/>
      <x:c r="L188" s="50"/>
      <x:c r="M188" s="50"/>
      <x:c r="N188" s="50"/>
      <x:c r="O188" s="50"/>
      <x:c r="P188" s="50"/>
      <x:c r="Q188" s="50"/>
      <x:c r="R188" s="50"/>
      <x:c r="S188" s="50"/>
      <x:c r="T188" s="50"/>
      <x:c r="U188" s="50"/>
      <x:c r="V188" s="50"/>
      <x:c r="W188" s="50"/>
      <x:c r="X188" s="50"/>
      <x:c r="Y188" s="50"/>
      <x:c r="Z188" s="50"/>
    </x:row>
    <x:row r="189">
      <x:c r="A189" s="50"/>
      <x:c r="B189" s="50"/>
      <x:c r="C189" s="50"/>
      <x:c r="D189" s="50"/>
      <x:c r="E189" s="50"/>
      <x:c r="F189" s="50"/>
      <x:c r="G189" s="50"/>
      <x:c r="H189" s="50"/>
      <x:c r="I189" s="50"/>
      <x:c r="J189" s="50"/>
      <x:c r="K189" s="50"/>
      <x:c r="L189" s="50"/>
      <x:c r="M189" s="50"/>
      <x:c r="N189" s="50"/>
      <x:c r="O189" s="50"/>
      <x:c r="P189" s="50"/>
      <x:c r="Q189" s="50"/>
      <x:c r="R189" s="50"/>
      <x:c r="S189" s="50"/>
      <x:c r="T189" s="50"/>
      <x:c r="U189" s="50"/>
      <x:c r="V189" s="50"/>
      <x:c r="W189" s="50"/>
      <x:c r="X189" s="50"/>
      <x:c r="Y189" s="50"/>
      <x:c r="Z189" s="50"/>
    </x:row>
    <x:row r="190">
      <x:c r="A190" s="50"/>
      <x:c r="B190" s="50"/>
      <x:c r="C190" s="50"/>
      <x:c r="D190" s="50"/>
      <x:c r="E190" s="50"/>
      <x:c r="F190" s="50"/>
      <x:c r="G190" s="50"/>
      <x:c r="H190" s="50"/>
      <x:c r="I190" s="50"/>
      <x:c r="J190" s="50"/>
      <x:c r="K190" s="50"/>
      <x:c r="L190" s="50"/>
      <x:c r="M190" s="50"/>
      <x:c r="N190" s="50"/>
      <x:c r="O190" s="50"/>
      <x:c r="P190" s="50"/>
      <x:c r="Q190" s="50"/>
      <x:c r="R190" s="50"/>
      <x:c r="S190" s="50"/>
      <x:c r="T190" s="50"/>
      <x:c r="U190" s="50"/>
      <x:c r="V190" s="50"/>
      <x:c r="W190" s="50"/>
      <x:c r="X190" s="50"/>
      <x:c r="Y190" s="50"/>
      <x:c r="Z190" s="50"/>
    </x:row>
    <x:row r="191">
      <x:c r="A191" s="50"/>
      <x:c r="B191" s="50"/>
      <x:c r="C191" s="50"/>
      <x:c r="D191" s="50"/>
      <x:c r="E191" s="50"/>
      <x:c r="F191" s="50"/>
      <x:c r="G191" s="50"/>
      <x:c r="H191" s="50"/>
      <x:c r="I191" s="50"/>
      <x:c r="J191" s="50"/>
      <x:c r="K191" s="50"/>
      <x:c r="L191" s="50"/>
      <x:c r="M191" s="50"/>
      <x:c r="N191" s="50"/>
      <x:c r="O191" s="50"/>
      <x:c r="P191" s="50"/>
      <x:c r="Q191" s="50"/>
      <x:c r="R191" s="50"/>
      <x:c r="S191" s="50"/>
      <x:c r="T191" s="50"/>
      <x:c r="U191" s="50"/>
      <x:c r="V191" s="50"/>
      <x:c r="W191" s="50"/>
      <x:c r="X191" s="50"/>
      <x:c r="Y191" s="50"/>
      <x:c r="Z191" s="50"/>
    </x:row>
    <x:row r="192">
      <x:c r="A192" s="50"/>
      <x:c r="B192" s="50"/>
      <x:c r="C192" s="50"/>
      <x:c r="D192" s="50"/>
      <x:c r="E192" s="50"/>
      <x:c r="F192" s="50"/>
      <x:c r="G192" s="50"/>
      <x:c r="H192" s="50"/>
      <x:c r="I192" s="50"/>
      <x:c r="J192" s="50"/>
      <x:c r="K192" s="50"/>
      <x:c r="L192" s="50"/>
      <x:c r="M192" s="50"/>
      <x:c r="N192" s="50"/>
      <x:c r="O192" s="50"/>
      <x:c r="P192" s="50"/>
      <x:c r="Q192" s="50"/>
      <x:c r="R192" s="50"/>
      <x:c r="S192" s="50"/>
      <x:c r="T192" s="50"/>
      <x:c r="U192" s="50"/>
      <x:c r="V192" s="50"/>
      <x:c r="W192" s="50"/>
      <x:c r="X192" s="50"/>
      <x:c r="Y192" s="50"/>
      <x:c r="Z192" s="50"/>
    </x:row>
    <x:row r="193">
      <x:c r="A193" s="50"/>
      <x:c r="B193" s="50"/>
      <x:c r="C193" s="50"/>
      <x:c r="D193" s="50"/>
      <x:c r="E193" s="50"/>
      <x:c r="F193" s="50"/>
      <x:c r="G193" s="50"/>
      <x:c r="H193" s="50"/>
      <x:c r="I193" s="50"/>
      <x:c r="J193" s="50"/>
      <x:c r="K193" s="50"/>
      <x:c r="L193" s="50"/>
      <x:c r="M193" s="50"/>
      <x:c r="N193" s="50"/>
      <x:c r="O193" s="50"/>
      <x:c r="P193" s="50"/>
      <x:c r="Q193" s="50"/>
      <x:c r="R193" s="50"/>
      <x:c r="S193" s="50"/>
      <x:c r="T193" s="50"/>
      <x:c r="U193" s="50"/>
      <x:c r="V193" s="50"/>
      <x:c r="W193" s="50"/>
      <x:c r="X193" s="50"/>
      <x:c r="Y193" s="50"/>
      <x:c r="Z193" s="50"/>
    </x:row>
    <x:row r="194">
      <x:c r="A194" s="50"/>
      <x:c r="B194" s="50"/>
      <x:c r="C194" s="50"/>
      <x:c r="D194" s="50"/>
      <x:c r="E194" s="50"/>
      <x:c r="F194" s="50"/>
      <x:c r="G194" s="50"/>
      <x:c r="H194" s="50"/>
      <x:c r="I194" s="50"/>
      <x:c r="J194" s="50"/>
      <x:c r="K194" s="50"/>
      <x:c r="L194" s="50"/>
      <x:c r="M194" s="50"/>
      <x:c r="N194" s="50"/>
      <x:c r="O194" s="50"/>
      <x:c r="P194" s="50"/>
      <x:c r="Q194" s="50"/>
      <x:c r="R194" s="50"/>
      <x:c r="S194" s="50"/>
      <x:c r="T194" s="50"/>
      <x:c r="U194" s="50"/>
      <x:c r="V194" s="50"/>
      <x:c r="W194" s="50"/>
      <x:c r="X194" s="50"/>
      <x:c r="Y194" s="50"/>
      <x:c r="Z194" s="50"/>
    </x:row>
    <x:row r="195">
      <x:c r="A195" s="50"/>
      <x:c r="B195" s="50"/>
      <x:c r="C195" s="50"/>
      <x:c r="D195" s="50"/>
      <x:c r="E195" s="50"/>
      <x:c r="F195" s="50"/>
      <x:c r="G195" s="50"/>
      <x:c r="H195" s="50"/>
      <x:c r="I195" s="50"/>
      <x:c r="J195" s="50"/>
      <x:c r="K195" s="50"/>
      <x:c r="L195" s="50"/>
      <x:c r="M195" s="50"/>
      <x:c r="N195" s="50"/>
      <x:c r="O195" s="50"/>
      <x:c r="P195" s="50"/>
      <x:c r="Q195" s="50"/>
      <x:c r="R195" s="50"/>
      <x:c r="S195" s="50"/>
      <x:c r="T195" s="50"/>
      <x:c r="U195" s="50"/>
      <x:c r="V195" s="50"/>
      <x:c r="W195" s="50"/>
      <x:c r="X195" s="50"/>
      <x:c r="Y195" s="50"/>
      <x:c r="Z195" s="50"/>
    </x:row>
    <x:row r="196">
      <x:c r="A196" s="50"/>
      <x:c r="B196" s="50"/>
      <x:c r="C196" s="50"/>
      <x:c r="D196" s="50"/>
      <x:c r="E196" s="50"/>
      <x:c r="F196" s="50"/>
      <x:c r="G196" s="50"/>
      <x:c r="H196" s="50"/>
      <x:c r="I196" s="50"/>
      <x:c r="J196" s="50"/>
      <x:c r="K196" s="50"/>
      <x:c r="L196" s="50"/>
      <x:c r="M196" s="50"/>
      <x:c r="N196" s="50"/>
      <x:c r="O196" s="50"/>
      <x:c r="P196" s="50"/>
      <x:c r="Q196" s="50"/>
      <x:c r="R196" s="50"/>
      <x:c r="S196" s="50"/>
      <x:c r="T196" s="50"/>
      <x:c r="U196" s="50"/>
      <x:c r="V196" s="50"/>
      <x:c r="W196" s="50"/>
      <x:c r="X196" s="50"/>
      <x:c r="Y196" s="50"/>
      <x:c r="Z196" s="50"/>
    </x:row>
    <x:row r="197">
      <x:c r="A197" s="50"/>
      <x:c r="B197" s="50"/>
      <x:c r="C197" s="50"/>
      <x:c r="D197" s="50"/>
      <x:c r="E197" s="50"/>
      <x:c r="F197" s="50"/>
      <x:c r="G197" s="50"/>
      <x:c r="H197" s="50"/>
      <x:c r="I197" s="50"/>
      <x:c r="J197" s="50"/>
      <x:c r="K197" s="50"/>
      <x:c r="L197" s="50"/>
      <x:c r="M197" s="50"/>
      <x:c r="N197" s="50"/>
      <x:c r="O197" s="50"/>
      <x:c r="P197" s="50"/>
      <x:c r="Q197" s="50"/>
      <x:c r="R197" s="50"/>
      <x:c r="S197" s="50"/>
      <x:c r="T197" s="50"/>
      <x:c r="U197" s="50"/>
      <x:c r="V197" s="50"/>
      <x:c r="W197" s="50"/>
      <x:c r="X197" s="50"/>
      <x:c r="Y197" s="50"/>
      <x:c r="Z197" s="50"/>
    </x:row>
    <x:row r="198">
      <x:c r="A198" s="50"/>
      <x:c r="B198" s="50"/>
      <x:c r="C198" s="50"/>
      <x:c r="D198" s="50"/>
      <x:c r="E198" s="50"/>
      <x:c r="F198" s="50"/>
      <x:c r="G198" s="50"/>
      <x:c r="H198" s="50"/>
      <x:c r="I198" s="50"/>
      <x:c r="J198" s="50"/>
      <x:c r="K198" s="50"/>
      <x:c r="L198" s="50"/>
      <x:c r="M198" s="50"/>
      <x:c r="N198" s="50"/>
      <x:c r="O198" s="50"/>
      <x:c r="P198" s="50"/>
      <x:c r="Q198" s="50"/>
      <x:c r="R198" s="50"/>
      <x:c r="S198" s="50"/>
      <x:c r="T198" s="50"/>
      <x:c r="U198" s="50"/>
      <x:c r="V198" s="50"/>
      <x:c r="W198" s="50"/>
      <x:c r="X198" s="50"/>
      <x:c r="Y198" s="50"/>
      <x:c r="Z198" s="50"/>
    </x:row>
    <x:row r="199">
      <x:c r="A199" s="50"/>
      <x:c r="B199" s="50"/>
      <x:c r="C199" s="50"/>
      <x:c r="D199" s="50"/>
      <x:c r="E199" s="50"/>
      <x:c r="F199" s="50"/>
      <x:c r="G199" s="50"/>
      <x:c r="H199" s="50"/>
      <x:c r="I199" s="50"/>
      <x:c r="J199" s="50"/>
      <x:c r="K199" s="50"/>
      <x:c r="L199" s="50"/>
      <x:c r="M199" s="50"/>
      <x:c r="N199" s="50"/>
      <x:c r="O199" s="50"/>
      <x:c r="P199" s="50"/>
      <x:c r="Q199" s="50"/>
      <x:c r="R199" s="50"/>
      <x:c r="S199" s="50"/>
      <x:c r="T199" s="50"/>
      <x:c r="U199" s="50"/>
      <x:c r="V199" s="50"/>
      <x:c r="W199" s="50"/>
      <x:c r="X199" s="50"/>
      <x:c r="Y199" s="50"/>
      <x:c r="Z199" s="50"/>
    </x:row>
    <x:row r="200">
      <x:c r="A200" s="50"/>
      <x:c r="B200" s="50"/>
      <x:c r="C200" s="50"/>
      <x:c r="D200" s="50"/>
      <x:c r="E200" s="50"/>
      <x:c r="F200" s="50"/>
      <x:c r="G200" s="50"/>
      <x:c r="H200" s="50"/>
      <x:c r="I200" s="50"/>
      <x:c r="J200" s="50"/>
      <x:c r="K200" s="50"/>
      <x:c r="L200" s="50"/>
      <x:c r="M200" s="50"/>
      <x:c r="N200" s="50"/>
      <x:c r="O200" s="50"/>
      <x:c r="P200" s="50"/>
      <x:c r="Q200" s="50"/>
      <x:c r="R200" s="50"/>
      <x:c r="S200" s="50"/>
      <x:c r="T200" s="50"/>
      <x:c r="U200" s="50"/>
      <x:c r="V200" s="50"/>
      <x:c r="W200" s="50"/>
      <x:c r="X200" s="50"/>
      <x:c r="Y200" s="50"/>
      <x:c r="Z200" s="50"/>
    </x:row>
  </x:sheetData>
  <x:mergeCells>
    <x:mergeCell ref="A1:H1"/>
    <x:mergeCell ref="A10:H10"/>
    <x:mergeCell ref="A17:H17"/>
  </x:mergeCells>
  <x:conditionalFormatting sqref="H13:H14">
    <x:cfRule type="expression" dxfId="1" priority="1">
      <x:formula>H13="Winner"</x:formula>
    </x:cfRule>
  </x:conditionalFormatting>
  <x:conditionalFormatting sqref="D13:D14">
    <x:cfRule type="dataBar" priority="2">
      <x:dataBar>
        <x:cfvo type="min"/>
        <x:cfvo type="max"/>
        <x:color rgb="38BDF8"/>
      </x:dataBar>
      <x:extLst>
        <x:ext xmlns:x14="http://schemas.microsoft.com/office/spreadsheetml/2009/9/main" uri="{B025F937-C7B1-47D3-B67F-A62EFF666E3E}">
          <x14:id>{39CFF7EA-9AA5-1E54-1D82-C748219C65A6}</x14:id>
        </x:ext>
      </x:extLst>
    </x:cfRule>
  </x:conditionalFormatting>
  <x:conditionalFormatting sqref="G13:G14">
    <x:cfRule type="dataBar" priority="3">
      <x:dataBar>
        <x:cfvo type="min"/>
        <x:cfvo type="max"/>
        <x:color rgb="22C55E"/>
      </x:dataBar>
      <x:extLst>
        <x:ext xmlns:x14="http://schemas.microsoft.com/office/spreadsheetml/2009/9/main" uri="{B025F937-C7B1-47D3-B67F-A62EFF666E3E}">
          <x14:id>{50CF9E14-0BDD-6210-E269-AD674F1A2E40}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9248ea3facff47f9"/>
  <x:tableParts count="2">
    <x:tablePart xmlns:r="http://schemas.openxmlformats.org/officeDocument/2006/relationships" r:id="Re14dd8c1afe7469e"/>
    <x:tablePart xmlns:r="http://schemas.openxmlformats.org/officeDocument/2006/relationships" r:id="Rca11ce908ddd487c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39CFF7EA-9AA5-1E54-1D82-C748219C65A6}">
            <x14:dataBar gradient="1">
              <x14:cfvo type="min"/>
              <x14:cfvo type="max"/>
              <x14:fillColor rgb="38BDF8"/>
            </x14:dataBar>
          </x14:cfRule>
          <xm:sqref>D13:D14</xm:sqref>
        </x14:conditionalFormatting>
        <x14:conditionalFormatting>
          <x14:cfRule type="dataBar" priority="3" id="{50CF9E14-0BDD-6210-E269-AD674F1A2E40}">
            <x14:dataBar gradient="1">
              <x14:cfvo type="min"/>
              <x14:cfvo type="max"/>
              <x14:fillColor rgb="22C55E"/>
            </x14:dataBar>
          </x14:cfRule>
          <xm:sqref>G13:G14</xm:sqref>
        </x14:conditionalFormatting>
      </x14:conditionalFormattings>
    </x:ext>
  </x:extLst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</x:cols>
  <x:sheetData>
    <x:row r="1">
      <x:c r="A1" s="54" t="str">
        <x:v>AB Price Testing Setup</x:v>
      </x:c>
      <x:c r="B1" s="50"/>
      <x:c r="C1" s="50"/>
      <x:c r="D1" s="50"/>
      <x:c r="E1" s="50"/>
      <x:c r="F1" s="50"/>
      <x:c r="G1" s="50"/>
      <x:c r="H1" s="50"/>
      <x:c r="I1" s="50"/>
      <x:c r="J1" s="50"/>
      <x:c r="K1" s="50"/>
      <x:c r="L1" s="50"/>
      <x:c r="M1" s="50"/>
      <x:c r="N1" s="50"/>
      <x:c r="O1" s="50"/>
      <x:c r="P1" s="50"/>
      <x:c r="Q1" s="50"/>
      <x:c r="R1" s="50"/>
      <x:c r="S1" s="50"/>
      <x:c r="T1" s="50"/>
      <x:c r="U1" s="50"/>
      <x:c r="V1" s="50"/>
      <x:c r="W1" s="50"/>
      <x:c r="X1" s="50"/>
      <x:c r="Y1" s="50"/>
      <x:c r="Z1" s="50"/>
    </x:row>
    <x:row r="2">
      <x:c r="A2" s="61" t="str">
        <x:v>Editable fields</x:v>
      </x:c>
      <x:c r="B2" s="61" t="str">
        <x:v>Meaning</x:v>
      </x:c>
      <x:c r="C2" s="61" t="str">
        <x:v>Example</x:v>
      </x:c>
      <x:c r="D2" s="61" t="str">
        <x:v>Notes</x:v>
      </x:c>
      <x:c r="E2" s="50"/>
      <x:c r="F2" s="50"/>
      <x:c r="G2" s="50"/>
      <x:c r="H2" s="50"/>
      <x:c r="I2" s="50"/>
      <x:c r="J2" s="50"/>
      <x:c r="K2" s="50"/>
      <x:c r="L2" s="50"/>
      <x:c r="M2" s="50"/>
      <x:c r="N2" s="50"/>
      <x:c r="O2" s="50"/>
      <x:c r="P2" s="50"/>
      <x:c r="Q2" s="50"/>
      <x:c r="R2" s="50"/>
      <x:c r="S2" s="50"/>
      <x:c r="T2" s="50"/>
      <x:c r="U2" s="50"/>
      <x:c r="V2" s="50"/>
      <x:c r="W2" s="50"/>
      <x:c r="X2" s="50"/>
      <x:c r="Y2" s="50"/>
      <x:c r="Z2" s="50"/>
    </x:row>
    <x:row r="3">
      <x:c r="A3" s="50" t="str">
        <x:v>App</x:v>
      </x:c>
      <x:c r="B3" s="50" t="str">
        <x:v>Which app / SKU you are testing</x:v>
      </x:c>
      <x:c r="C3" s="50" t="str">
        <x:v>BLE Scanner</x:v>
      </x:c>
      <x:c r="D3" s="50" t="str">
        <x:v>Use same naming in AB_TEST</x:v>
      </x:c>
      <x:c r="E3" s="50"/>
      <x:c r="F3" s="50"/>
      <x:c r="G3" s="50"/>
      <x:c r="H3" s="50"/>
      <x:c r="I3" s="50"/>
      <x:c r="J3" s="50"/>
      <x:c r="K3" s="50"/>
      <x:c r="L3" s="50"/>
      <x:c r="M3" s="50"/>
      <x:c r="N3" s="50"/>
      <x:c r="O3" s="50"/>
      <x:c r="P3" s="50"/>
      <x:c r="Q3" s="50"/>
      <x:c r="R3" s="50"/>
      <x:c r="S3" s="50"/>
      <x:c r="T3" s="50"/>
      <x:c r="U3" s="50"/>
      <x:c r="V3" s="50"/>
      <x:c r="W3" s="50"/>
      <x:c r="X3" s="50"/>
      <x:c r="Y3" s="50"/>
      <x:c r="Z3" s="50"/>
    </x:row>
    <x:row r="4">
      <x:c r="A4" s="50" t="str">
        <x:v>Country</x:v>
      </x:c>
      <x:c r="B4" s="50" t="str">
        <x:v>Play Store country code</x:v>
      </x:c>
      <x:c r="C4" s="50" t="str">
        <x:v>TR</x:v>
      </x:c>
      <x:c r="D4" s="50" t="str">
        <x:v>TR, US, IN, BR etc.</x:v>
      </x:c>
      <x:c r="E4" s="50"/>
      <x:c r="F4" s="50"/>
      <x:c r="G4" s="50"/>
      <x:c r="H4" s="50"/>
      <x:c r="I4" s="50"/>
      <x:c r="J4" s="50"/>
      <x:c r="K4" s="50"/>
      <x:c r="L4" s="50"/>
      <x:c r="M4" s="50"/>
      <x:c r="N4" s="50"/>
      <x:c r="O4" s="50"/>
      <x:c r="P4" s="50"/>
      <x:c r="Q4" s="50"/>
      <x:c r="R4" s="50"/>
      <x:c r="S4" s="50"/>
      <x:c r="T4" s="50"/>
      <x:c r="U4" s="50"/>
      <x:c r="V4" s="50"/>
      <x:c r="W4" s="50"/>
      <x:c r="X4" s="50"/>
      <x:c r="Y4" s="50"/>
      <x:c r="Z4" s="50"/>
    </x:row>
    <x:row r="5">
      <x:c r="A5" s="50" t="str">
        <x:v>Variant</x:v>
      </x:c>
      <x:c r="B5" s="50" t="str">
        <x:v>Price variant label</x:v>
      </x:c>
      <x:c r="C5" s="50" t="str">
        <x:v>A / B</x:v>
      </x:c>
      <x:c r="D5" s="50" t="str">
        <x:v>A = higher price, B = lower price recommended</x:v>
      </x:c>
      <x:c r="E5" s="50"/>
      <x:c r="F5" s="50"/>
      <x:c r="G5" s="50"/>
      <x:c r="H5" s="50"/>
      <x:c r="I5" s="50"/>
      <x:c r="J5" s="50"/>
      <x:c r="K5" s="50"/>
      <x:c r="L5" s="50"/>
      <x:c r="M5" s="50"/>
      <x:c r="N5" s="50"/>
      <x:c r="O5" s="50"/>
      <x:c r="P5" s="50"/>
      <x:c r="Q5" s="50"/>
      <x:c r="R5" s="50"/>
      <x:c r="S5" s="50"/>
      <x:c r="T5" s="50"/>
      <x:c r="U5" s="50"/>
      <x:c r="V5" s="50"/>
      <x:c r="W5" s="50"/>
      <x:c r="X5" s="50"/>
      <x:c r="Y5" s="50"/>
      <x:c r="Z5" s="50"/>
    </x:row>
    <x:row r="6">
      <x:c r="A6" s="50" t="str">
        <x:v>Impressions</x:v>
      </x:c>
      <x:c r="B6" s="50" t="str">
        <x:v>Paywall / purchase screen views</x:v>
      </x:c>
      <x:c r="C6" s="50" t="n">
        <x:v>1000</x:v>
      </x:c>
      <x:c r="D6" s="50" t="str">
        <x:v>Use Play Console / analytics</x:v>
      </x:c>
      <x:c r="E6" s="50"/>
      <x:c r="F6" s="50"/>
      <x:c r="G6" s="50"/>
      <x:c r="H6" s="50"/>
      <x:c r="I6" s="50"/>
      <x:c r="J6" s="50"/>
      <x:c r="K6" s="50"/>
      <x:c r="L6" s="50"/>
      <x:c r="M6" s="50"/>
      <x:c r="N6" s="50"/>
      <x:c r="O6" s="50"/>
      <x:c r="P6" s="50"/>
      <x:c r="Q6" s="50"/>
      <x:c r="R6" s="50"/>
      <x:c r="S6" s="50"/>
      <x:c r="T6" s="50"/>
      <x:c r="U6" s="50"/>
      <x:c r="V6" s="50"/>
      <x:c r="W6" s="50"/>
      <x:c r="X6" s="50"/>
      <x:c r="Y6" s="50"/>
      <x:c r="Z6" s="50"/>
    </x:row>
    <x:row r="7">
      <x:c r="A7" s="50" t="str">
        <x:v>Purchases</x:v>
      </x:c>
      <x:c r="B7" s="50" t="str">
        <x:v>Completed purchases</x:v>
      </x:c>
      <x:c r="C7" s="50" t="n">
        <x:v>50</x:v>
      </x:c>
      <x:c r="D7" s="50" t="str">
        <x:v>Use Play Console order data</x:v>
      </x:c>
      <x:c r="E7" s="50"/>
      <x:c r="F7" s="50"/>
      <x:c r="G7" s="50"/>
      <x:c r="H7" s="50"/>
      <x:c r="I7" s="50"/>
      <x:c r="J7" s="50"/>
      <x:c r="K7" s="50"/>
      <x:c r="L7" s="50"/>
      <x:c r="M7" s="50"/>
      <x:c r="N7" s="50"/>
      <x:c r="O7" s="50"/>
      <x:c r="P7" s="50"/>
      <x:c r="Q7" s="50"/>
      <x:c r="R7" s="50"/>
      <x:c r="S7" s="50"/>
      <x:c r="T7" s="50"/>
      <x:c r="U7" s="50"/>
      <x:c r="V7" s="50"/>
      <x:c r="W7" s="50"/>
      <x:c r="X7" s="50"/>
      <x:c r="Y7" s="50"/>
      <x:c r="Z7" s="50"/>
    </x:row>
    <x:row r="8">
      <x:c r="A8" s="50" t="str">
        <x:v>Revenue</x:v>
      </x:c>
      <x:c r="B8" s="50" t="str">
        <x:v>Auto calculated</x:v>
      </x:c>
      <x:c r="C8" s="50"/>
      <x:c r="D8" s="50" t="str">
        <x:v>Price × Purchases</x:v>
      </x:c>
      <x:c r="E8" s="50"/>
      <x:c r="F8" s="50"/>
      <x:c r="G8" s="50"/>
      <x:c r="H8" s="50"/>
      <x:c r="I8" s="50"/>
      <x:c r="J8" s="50"/>
      <x:c r="K8" s="50"/>
      <x:c r="L8" s="50"/>
      <x:c r="M8" s="50"/>
      <x:c r="N8" s="50"/>
      <x:c r="O8" s="50"/>
      <x:c r="P8" s="50"/>
      <x:c r="Q8" s="50"/>
      <x:c r="R8" s="50"/>
      <x:c r="S8" s="50"/>
      <x:c r="T8" s="50"/>
      <x:c r="U8" s="50"/>
      <x:c r="V8" s="50"/>
      <x:c r="W8" s="50"/>
      <x:c r="X8" s="50"/>
      <x:c r="Y8" s="50"/>
      <x:c r="Z8" s="50"/>
    </x:row>
    <x:row r="9">
      <x:c r="A9" s="50" t="str">
        <x:v>Conversion</x:v>
      </x:c>
      <x:c r="B9" s="50" t="str">
        <x:v>Auto calculated</x:v>
      </x:c>
      <x:c r="C9" s="50"/>
      <x:c r="D9" s="50" t="str">
        <x:v>Purchases ÷ Impressions</x:v>
      </x:c>
      <x:c r="E9" s="50"/>
      <x:c r="F9" s="50"/>
      <x:c r="G9" s="50"/>
      <x:c r="H9" s="50"/>
      <x:c r="I9" s="50"/>
      <x:c r="J9" s="50"/>
      <x:c r="K9" s="50"/>
      <x:c r="L9" s="50"/>
      <x:c r="M9" s="50"/>
      <x:c r="N9" s="50"/>
      <x:c r="O9" s="50"/>
      <x:c r="P9" s="50"/>
      <x:c r="Q9" s="50"/>
      <x:c r="R9" s="50"/>
      <x:c r="S9" s="50"/>
      <x:c r="T9" s="50"/>
      <x:c r="U9" s="50"/>
      <x:c r="V9" s="50"/>
      <x:c r="W9" s="50"/>
      <x:c r="X9" s="50"/>
      <x:c r="Y9" s="50"/>
      <x:c r="Z9" s="50"/>
    </x:row>
    <x:row r="10">
      <x:c r="A10" s="50" t="str">
        <x:v>Decision metric</x:v>
      </x:c>
      <x:c r="B10" s="50" t="str">
        <x:v>Primary winner metric</x:v>
      </x:c>
      <x:c r="C10" s="50" t="str">
        <x:v>Revenue</x:v>
      </x:c>
      <x:c r="D10" s="50" t="str">
        <x:v>Conversion alone is not enough</x:v>
      </x:c>
      <x:c r="E10" s="50"/>
      <x:c r="F10" s="50"/>
      <x:c r="G10" s="50"/>
      <x:c r="H10" s="50"/>
      <x:c r="I10" s="50"/>
      <x:c r="J10" s="50"/>
      <x:c r="K10" s="50"/>
      <x:c r="L10" s="50"/>
      <x:c r="M10" s="50"/>
      <x:c r="N10" s="50"/>
      <x:c r="O10" s="50"/>
      <x:c r="P10" s="50"/>
      <x:c r="Q10" s="50"/>
      <x:c r="R10" s="50"/>
      <x:c r="S10" s="50"/>
      <x:c r="T10" s="50"/>
      <x:c r="U10" s="50"/>
      <x:c r="V10" s="50"/>
      <x:c r="W10" s="50"/>
      <x:c r="X10" s="50"/>
      <x:c r="Y10" s="50"/>
      <x:c r="Z10" s="50"/>
    </x:row>
    <x:row r="11">
      <x:c r="A11" s="50"/>
      <x:c r="B11" s="50"/>
      <x:c r="C11" s="50"/>
      <x:c r="D11" s="50"/>
      <x:c r="E11" s="50"/>
      <x:c r="F11" s="50"/>
      <x:c r="G11" s="50"/>
      <x:c r="H11" s="50"/>
      <x:c r="I11" s="50"/>
      <x:c r="J11" s="50"/>
      <x:c r="K11" s="50"/>
      <x:c r="L11" s="50"/>
      <x:c r="M11" s="50"/>
      <x:c r="N11" s="50"/>
      <x:c r="O11" s="50"/>
      <x:c r="P11" s="50"/>
      <x:c r="Q11" s="50"/>
      <x:c r="R11" s="50"/>
      <x:c r="S11" s="50"/>
      <x:c r="T11" s="50"/>
      <x:c r="U11" s="50"/>
      <x:c r="V11" s="50"/>
      <x:c r="W11" s="50"/>
      <x:c r="X11" s="50"/>
      <x:c r="Y11" s="50"/>
      <x:c r="Z11" s="50"/>
    </x:row>
    <x:row r="12">
      <x:c r="A12" s="50"/>
      <x:c r="B12" s="50"/>
      <x:c r="C12" s="50"/>
      <x:c r="D12" s="50"/>
      <x:c r="E12" s="50"/>
      <x:c r="F12" s="50"/>
      <x:c r="G12" s="50"/>
      <x:c r="H12" s="50"/>
      <x:c r="I12" s="50"/>
      <x:c r="J12" s="50"/>
      <x:c r="K12" s="50"/>
      <x:c r="L12" s="50"/>
      <x:c r="M12" s="50"/>
      <x:c r="N12" s="50"/>
      <x:c r="O12" s="50"/>
      <x:c r="P12" s="50"/>
      <x:c r="Q12" s="50"/>
      <x:c r="R12" s="50"/>
      <x:c r="S12" s="50"/>
      <x:c r="T12" s="50"/>
      <x:c r="U12" s="50"/>
      <x:c r="V12" s="50"/>
      <x:c r="W12" s="50"/>
      <x:c r="X12" s="50"/>
      <x:c r="Y12" s="50"/>
      <x:c r="Z12" s="50"/>
    </x:row>
    <x:row r="13">
      <x:c r="A13" s="50"/>
      <x:c r="B13" s="50"/>
      <x:c r="C13" s="50"/>
      <x:c r="D13" s="50"/>
      <x:c r="E13" s="50"/>
      <x:c r="F13" s="50"/>
      <x:c r="G13" s="50"/>
      <x:c r="H13" s="50"/>
      <x:c r="I13" s="50"/>
      <x:c r="J13" s="50"/>
      <x:c r="K13" s="50"/>
      <x:c r="L13" s="50"/>
      <x:c r="M13" s="50"/>
      <x:c r="N13" s="50"/>
      <x:c r="O13" s="50"/>
      <x:c r="P13" s="50"/>
      <x:c r="Q13" s="50"/>
      <x:c r="R13" s="50"/>
      <x:c r="S13" s="50"/>
      <x:c r="T13" s="50"/>
      <x:c r="U13" s="50"/>
      <x:c r="V13" s="50"/>
      <x:c r="W13" s="50"/>
      <x:c r="X13" s="50"/>
      <x:c r="Y13" s="50"/>
      <x:c r="Z13" s="50"/>
    </x:row>
    <x:row r="14">
      <x:c r="A14" s="50"/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  <x:c r="N14" s="50"/>
      <x:c r="O14" s="50"/>
      <x:c r="P14" s="50"/>
      <x:c r="Q14" s="50"/>
      <x:c r="R14" s="50"/>
      <x:c r="S14" s="50"/>
      <x:c r="T14" s="50"/>
      <x:c r="U14" s="50"/>
      <x:c r="V14" s="50"/>
      <x:c r="W14" s="50"/>
      <x:c r="X14" s="50"/>
      <x:c r="Y14" s="50"/>
      <x:c r="Z14" s="50"/>
    </x:row>
    <x:row r="15">
      <x:c r="A15" s="50"/>
      <x:c r="B15" s="50"/>
      <x:c r="C15" s="50"/>
      <x:c r="D15" s="50"/>
      <x:c r="E15" s="50"/>
      <x:c r="F15" s="50"/>
      <x:c r="G15" s="50"/>
      <x:c r="H15" s="50"/>
      <x:c r="I15" s="50"/>
      <x:c r="J15" s="50"/>
      <x:c r="K15" s="50"/>
      <x:c r="L15" s="50"/>
      <x:c r="M15" s="50"/>
      <x:c r="N15" s="50"/>
      <x:c r="O15" s="50"/>
      <x:c r="P15" s="50"/>
      <x:c r="Q15" s="50"/>
      <x:c r="R15" s="50"/>
      <x:c r="S15" s="50"/>
      <x:c r="T15" s="50"/>
      <x:c r="U15" s="50"/>
      <x:c r="V15" s="50"/>
      <x:c r="W15" s="50"/>
      <x:c r="X15" s="50"/>
      <x:c r="Y15" s="50"/>
      <x:c r="Z15" s="50"/>
    </x:row>
    <x:row r="16">
      <x:c r="A16" s="50"/>
      <x:c r="B16" s="50"/>
      <x:c r="C16" s="50"/>
      <x:c r="D16" s="50"/>
      <x:c r="E16" s="50"/>
      <x:c r="F16" s="50"/>
      <x:c r="G16" s="50"/>
      <x:c r="H16" s="50"/>
      <x:c r="I16" s="50"/>
      <x:c r="J16" s="50"/>
      <x:c r="K16" s="50"/>
      <x:c r="L16" s="50"/>
      <x:c r="M16" s="50"/>
      <x:c r="N16" s="50"/>
      <x:c r="O16" s="50"/>
      <x:c r="P16" s="50"/>
      <x:c r="Q16" s="50"/>
      <x:c r="R16" s="50"/>
      <x:c r="S16" s="50"/>
      <x:c r="T16" s="50"/>
      <x:c r="U16" s="50"/>
      <x:c r="V16" s="50"/>
      <x:c r="W16" s="50"/>
      <x:c r="X16" s="50"/>
      <x:c r="Y16" s="50"/>
      <x:c r="Z16" s="50"/>
    </x:row>
    <x:row r="17">
      <x:c r="A17" s="50"/>
      <x:c r="B17" s="50"/>
      <x:c r="C17" s="50"/>
      <x:c r="D17" s="50"/>
      <x:c r="E17" s="50"/>
      <x:c r="F17" s="50"/>
      <x:c r="G17" s="50"/>
      <x:c r="H17" s="50"/>
      <x:c r="I17" s="50"/>
      <x:c r="J17" s="50"/>
      <x:c r="K17" s="50"/>
      <x:c r="L17" s="50"/>
      <x:c r="M17" s="50"/>
      <x:c r="N17" s="50"/>
      <x:c r="O17" s="50"/>
      <x:c r="P17" s="50"/>
      <x:c r="Q17" s="50"/>
      <x:c r="R17" s="50"/>
      <x:c r="S17" s="50"/>
      <x:c r="T17" s="50"/>
      <x:c r="U17" s="50"/>
      <x:c r="V17" s="50"/>
      <x:c r="W17" s="50"/>
      <x:c r="X17" s="50"/>
      <x:c r="Y17" s="50"/>
      <x:c r="Z17" s="50"/>
    </x:row>
    <x:row r="18">
      <x:c r="A18" s="50"/>
      <x:c r="B18" s="50"/>
      <x:c r="C18" s="50"/>
      <x:c r="D18" s="50"/>
      <x:c r="E18" s="50"/>
      <x:c r="F18" s="50"/>
      <x:c r="G18" s="50"/>
      <x:c r="H18" s="50"/>
      <x:c r="I18" s="50"/>
      <x:c r="J18" s="50"/>
      <x:c r="K18" s="50"/>
      <x:c r="L18" s="50"/>
      <x:c r="M18" s="50"/>
      <x:c r="N18" s="50"/>
      <x:c r="O18" s="50"/>
      <x:c r="P18" s="50"/>
      <x:c r="Q18" s="50"/>
      <x:c r="R18" s="50"/>
      <x:c r="S18" s="50"/>
      <x:c r="T18" s="50"/>
      <x:c r="U18" s="50"/>
      <x:c r="V18" s="50"/>
      <x:c r="W18" s="50"/>
      <x:c r="X18" s="50"/>
      <x:c r="Y18" s="50"/>
      <x:c r="Z18" s="50"/>
    </x:row>
    <x:row r="19">
      <x:c r="A19" s="50"/>
      <x:c r="B19" s="50"/>
      <x:c r="C19" s="50"/>
      <x:c r="D19" s="50"/>
      <x:c r="E19" s="50"/>
      <x:c r="F19" s="50"/>
      <x:c r="G19" s="50"/>
      <x:c r="H19" s="50"/>
      <x:c r="I19" s="50"/>
      <x:c r="J19" s="50"/>
      <x:c r="K19" s="50"/>
      <x:c r="L19" s="50"/>
      <x:c r="M19" s="50"/>
      <x:c r="N19" s="50"/>
      <x:c r="O19" s="50"/>
      <x:c r="P19" s="50"/>
      <x:c r="Q19" s="50"/>
      <x:c r="R19" s="50"/>
      <x:c r="S19" s="50"/>
      <x:c r="T19" s="50"/>
      <x:c r="U19" s="50"/>
      <x:c r="V19" s="50"/>
      <x:c r="W19" s="50"/>
      <x:c r="X19" s="50"/>
      <x:c r="Y19" s="50"/>
      <x:c r="Z19" s="50"/>
    </x:row>
    <x:row r="20">
      <x:c r="A20" s="50"/>
      <x:c r="B20" s="50"/>
      <x:c r="C20" s="50"/>
      <x:c r="D20" s="50"/>
      <x:c r="E20" s="50"/>
      <x:c r="F20" s="50"/>
      <x:c r="G20" s="50"/>
      <x:c r="H20" s="50"/>
      <x:c r="I20" s="50"/>
      <x:c r="J20" s="50"/>
      <x:c r="K20" s="50"/>
      <x:c r="L20" s="50"/>
      <x:c r="M20" s="50"/>
      <x:c r="N20" s="50"/>
      <x:c r="O20" s="50"/>
      <x:c r="P20" s="50"/>
      <x:c r="Q20" s="50"/>
      <x:c r="R20" s="50"/>
      <x:c r="S20" s="50"/>
      <x:c r="T20" s="50"/>
      <x:c r="U20" s="50"/>
      <x:c r="V20" s="50"/>
      <x:c r="W20" s="50"/>
      <x:c r="X20" s="50"/>
      <x:c r="Y20" s="50"/>
      <x:c r="Z20" s="50"/>
    </x:row>
    <x:row r="21">
      <x:c r="A21" s="50"/>
      <x:c r="B21" s="50"/>
      <x:c r="C21" s="50"/>
      <x:c r="D21" s="50"/>
      <x:c r="E21" s="50"/>
      <x:c r="F21" s="50"/>
      <x:c r="G21" s="50"/>
      <x:c r="H21" s="50"/>
      <x:c r="I21" s="50"/>
      <x:c r="J21" s="50"/>
      <x:c r="K21" s="50"/>
      <x:c r="L21" s="50"/>
      <x:c r="M21" s="50"/>
      <x:c r="N21" s="50"/>
      <x:c r="O21" s="50"/>
      <x:c r="P21" s="50"/>
      <x:c r="Q21" s="50"/>
      <x:c r="R21" s="50"/>
      <x:c r="S21" s="50"/>
      <x:c r="T21" s="50"/>
      <x:c r="U21" s="50"/>
      <x:c r="V21" s="50"/>
      <x:c r="W21" s="50"/>
      <x:c r="X21" s="50"/>
      <x:c r="Y21" s="50"/>
      <x:c r="Z21" s="50"/>
    </x:row>
    <x:row r="22">
      <x:c r="A22" s="50"/>
      <x:c r="B22" s="50"/>
      <x:c r="C22" s="50"/>
      <x:c r="D22" s="50"/>
      <x:c r="E22" s="50"/>
      <x:c r="F22" s="50"/>
      <x:c r="G22" s="50"/>
      <x:c r="H22" s="50"/>
      <x:c r="I22" s="50"/>
      <x:c r="J22" s="50"/>
      <x:c r="K22" s="50"/>
      <x:c r="L22" s="50"/>
      <x:c r="M22" s="50"/>
      <x:c r="N22" s="50"/>
      <x:c r="O22" s="50"/>
      <x:c r="P22" s="50"/>
      <x:c r="Q22" s="50"/>
      <x:c r="R22" s="50"/>
      <x:c r="S22" s="50"/>
      <x:c r="T22" s="50"/>
      <x:c r="U22" s="50"/>
      <x:c r="V22" s="50"/>
      <x:c r="W22" s="50"/>
      <x:c r="X22" s="50"/>
      <x:c r="Y22" s="50"/>
      <x:c r="Z22" s="50"/>
    </x:row>
    <x:row r="23">
      <x:c r="A23" s="50"/>
      <x:c r="B23" s="50"/>
      <x:c r="C23" s="50"/>
      <x:c r="D23" s="50"/>
      <x:c r="E23" s="50"/>
      <x:c r="F23" s="50"/>
      <x:c r="G23" s="50"/>
      <x:c r="H23" s="50"/>
      <x:c r="I23" s="50"/>
      <x:c r="J23" s="50"/>
      <x:c r="K23" s="50"/>
      <x:c r="L23" s="50"/>
      <x:c r="M23" s="50"/>
      <x:c r="N23" s="50"/>
      <x:c r="O23" s="50"/>
      <x:c r="P23" s="50"/>
      <x:c r="Q23" s="50"/>
      <x:c r="R23" s="50"/>
      <x:c r="S23" s="50"/>
      <x:c r="T23" s="50"/>
      <x:c r="U23" s="50"/>
      <x:c r="V23" s="50"/>
      <x:c r="W23" s="50"/>
      <x:c r="X23" s="50"/>
      <x:c r="Y23" s="50"/>
      <x:c r="Z23" s="50"/>
    </x:row>
    <x:row r="24">
      <x:c r="A24" s="50"/>
      <x:c r="B24" s="50"/>
      <x:c r="C24" s="50"/>
      <x:c r="D24" s="50"/>
      <x:c r="E24" s="50"/>
      <x:c r="F24" s="50"/>
      <x:c r="G24" s="50"/>
      <x:c r="H24" s="50"/>
      <x:c r="I24" s="50"/>
      <x:c r="J24" s="50"/>
      <x:c r="K24" s="50"/>
      <x:c r="L24" s="50"/>
      <x:c r="M24" s="50"/>
      <x:c r="N24" s="50"/>
      <x:c r="O24" s="50"/>
      <x:c r="P24" s="50"/>
      <x:c r="Q24" s="50"/>
      <x:c r="R24" s="50"/>
      <x:c r="S24" s="50"/>
      <x:c r="T24" s="50"/>
      <x:c r="U24" s="50"/>
      <x:c r="V24" s="50"/>
      <x:c r="W24" s="50"/>
      <x:c r="X24" s="50"/>
      <x:c r="Y24" s="50"/>
      <x:c r="Z24" s="50"/>
    </x:row>
    <x:row r="25">
      <x:c r="A25" s="50"/>
      <x:c r="B25" s="50"/>
      <x:c r="C25" s="50"/>
      <x:c r="D25" s="50"/>
      <x:c r="E25" s="50"/>
      <x:c r="F25" s="50"/>
      <x:c r="G25" s="50"/>
      <x:c r="H25" s="50"/>
      <x:c r="I25" s="50"/>
      <x:c r="J25" s="50"/>
      <x:c r="K25" s="50"/>
      <x:c r="L25" s="50"/>
      <x:c r="M25" s="50"/>
      <x:c r="N25" s="50"/>
      <x:c r="O25" s="50"/>
      <x:c r="P25" s="50"/>
      <x:c r="Q25" s="50"/>
      <x:c r="R25" s="50"/>
      <x:c r="S25" s="50"/>
      <x:c r="T25" s="50"/>
      <x:c r="U25" s="50"/>
      <x:c r="V25" s="50"/>
      <x:c r="W25" s="50"/>
      <x:c r="X25" s="50"/>
      <x:c r="Y25" s="50"/>
      <x:c r="Z25" s="50"/>
    </x:row>
    <x:row r="26">
      <x:c r="A26" s="50"/>
      <x:c r="B26" s="50"/>
      <x:c r="C26" s="50"/>
      <x:c r="D26" s="50"/>
      <x:c r="E26" s="50"/>
      <x:c r="F26" s="50"/>
      <x:c r="G26" s="50"/>
      <x:c r="H26" s="50"/>
      <x:c r="I26" s="50"/>
      <x:c r="J26" s="50"/>
      <x:c r="K26" s="50"/>
      <x:c r="L26" s="50"/>
      <x:c r="M26" s="50"/>
      <x:c r="N26" s="50"/>
      <x:c r="O26" s="50"/>
      <x:c r="P26" s="50"/>
      <x:c r="Q26" s="50"/>
      <x:c r="R26" s="50"/>
      <x:c r="S26" s="50"/>
      <x:c r="T26" s="50"/>
      <x:c r="U26" s="50"/>
      <x:c r="V26" s="50"/>
      <x:c r="W26" s="50"/>
      <x:c r="X26" s="50"/>
      <x:c r="Y26" s="50"/>
      <x:c r="Z26" s="50"/>
    </x:row>
    <x:row r="27">
      <x:c r="A27" s="50"/>
      <x:c r="B27" s="50"/>
      <x:c r="C27" s="50"/>
      <x:c r="D27" s="50"/>
      <x:c r="E27" s="50"/>
      <x:c r="F27" s="50"/>
      <x:c r="G27" s="50"/>
      <x:c r="H27" s="50"/>
      <x:c r="I27" s="50"/>
      <x:c r="J27" s="50"/>
      <x:c r="K27" s="50"/>
      <x:c r="L27" s="50"/>
      <x:c r="M27" s="50"/>
      <x:c r="N27" s="50"/>
      <x:c r="O27" s="50"/>
      <x:c r="P27" s="50"/>
      <x:c r="Q27" s="50"/>
      <x:c r="R27" s="50"/>
      <x:c r="S27" s="50"/>
      <x:c r="T27" s="50"/>
      <x:c r="U27" s="50"/>
      <x:c r="V27" s="50"/>
      <x:c r="W27" s="50"/>
      <x:c r="X27" s="50"/>
      <x:c r="Y27" s="50"/>
      <x:c r="Z27" s="50"/>
    </x:row>
    <x:row r="28">
      <x:c r="A28" s="50"/>
      <x:c r="B28" s="50"/>
      <x:c r="C28" s="50"/>
      <x:c r="D28" s="50"/>
      <x:c r="E28" s="50"/>
      <x:c r="F28" s="50"/>
      <x:c r="G28" s="50"/>
      <x:c r="H28" s="50"/>
      <x:c r="I28" s="50"/>
      <x:c r="J28" s="50"/>
      <x:c r="K28" s="50"/>
      <x:c r="L28" s="50"/>
      <x:c r="M28" s="50"/>
      <x:c r="N28" s="50"/>
      <x:c r="O28" s="50"/>
      <x:c r="P28" s="50"/>
      <x:c r="Q28" s="50"/>
      <x:c r="R28" s="50"/>
      <x:c r="S28" s="50"/>
      <x:c r="T28" s="50"/>
      <x:c r="U28" s="50"/>
      <x:c r="V28" s="50"/>
      <x:c r="W28" s="50"/>
      <x:c r="X28" s="50"/>
      <x:c r="Y28" s="50"/>
      <x:c r="Z28" s="50"/>
    </x:row>
    <x:row r="29">
      <x:c r="A29" s="50"/>
      <x:c r="B29" s="50"/>
      <x:c r="C29" s="50"/>
      <x:c r="D29" s="50"/>
      <x:c r="E29" s="50"/>
      <x:c r="F29" s="50"/>
      <x:c r="G29" s="50"/>
      <x:c r="H29" s="50"/>
      <x:c r="I29" s="50"/>
      <x:c r="J29" s="50"/>
      <x:c r="K29" s="50"/>
      <x:c r="L29" s="50"/>
      <x:c r="M29" s="50"/>
      <x:c r="N29" s="50"/>
      <x:c r="O29" s="50"/>
      <x:c r="P29" s="50"/>
      <x:c r="Q29" s="50"/>
      <x:c r="R29" s="50"/>
      <x:c r="S29" s="50"/>
      <x:c r="T29" s="50"/>
      <x:c r="U29" s="50"/>
      <x:c r="V29" s="50"/>
      <x:c r="W29" s="50"/>
      <x:c r="X29" s="50"/>
      <x:c r="Y29" s="50"/>
      <x:c r="Z29" s="50"/>
    </x:row>
    <x:row r="30">
      <x:c r="A30" s="50"/>
      <x:c r="B30" s="50"/>
      <x:c r="C30" s="50"/>
      <x:c r="D30" s="50"/>
      <x:c r="E30" s="50"/>
      <x:c r="F30" s="50"/>
      <x:c r="G30" s="50"/>
      <x:c r="H30" s="50"/>
      <x:c r="I30" s="50"/>
      <x:c r="J30" s="50"/>
      <x:c r="K30" s="50"/>
      <x:c r="L30" s="50"/>
      <x:c r="M30" s="50"/>
      <x:c r="N30" s="50"/>
      <x:c r="O30" s="50"/>
      <x:c r="P30" s="50"/>
      <x:c r="Q30" s="50"/>
      <x:c r="R30" s="50"/>
      <x:c r="S30" s="50"/>
      <x:c r="T30" s="50"/>
      <x:c r="U30" s="50"/>
      <x:c r="V30" s="50"/>
      <x:c r="W30" s="50"/>
      <x:c r="X30" s="50"/>
      <x:c r="Y30" s="50"/>
      <x:c r="Z30" s="50"/>
    </x:row>
    <x:row r="31">
      <x:c r="A31" s="50"/>
      <x:c r="B31" s="50"/>
      <x:c r="C31" s="50"/>
      <x:c r="D31" s="50"/>
      <x:c r="E31" s="50"/>
      <x:c r="F31" s="50"/>
      <x:c r="G31" s="50"/>
      <x:c r="H31" s="50"/>
      <x:c r="I31" s="50"/>
      <x:c r="J31" s="50"/>
      <x:c r="K31" s="50"/>
      <x:c r="L31" s="50"/>
      <x:c r="M31" s="50"/>
      <x:c r="N31" s="50"/>
      <x:c r="O31" s="50"/>
      <x:c r="P31" s="50"/>
      <x:c r="Q31" s="50"/>
      <x:c r="R31" s="50"/>
      <x:c r="S31" s="50"/>
      <x:c r="T31" s="50"/>
      <x:c r="U31" s="50"/>
      <x:c r="V31" s="50"/>
      <x:c r="W31" s="50"/>
      <x:c r="X31" s="50"/>
      <x:c r="Y31" s="50"/>
      <x:c r="Z31" s="50"/>
    </x:row>
    <x:row r="32">
      <x:c r="A32" s="50"/>
      <x:c r="B32" s="50"/>
      <x:c r="C32" s="50"/>
      <x:c r="D32" s="50"/>
      <x:c r="E32" s="50"/>
      <x:c r="F32" s="50"/>
      <x:c r="G32" s="50"/>
      <x:c r="H32" s="50"/>
      <x:c r="I32" s="50"/>
      <x:c r="J32" s="50"/>
      <x:c r="K32" s="50"/>
      <x:c r="L32" s="50"/>
      <x:c r="M32" s="50"/>
      <x:c r="N32" s="50"/>
      <x:c r="O32" s="50"/>
      <x:c r="P32" s="50"/>
      <x:c r="Q32" s="50"/>
      <x:c r="R32" s="50"/>
      <x:c r="S32" s="50"/>
      <x:c r="T32" s="50"/>
      <x:c r="U32" s="50"/>
      <x:c r="V32" s="50"/>
      <x:c r="W32" s="50"/>
      <x:c r="X32" s="50"/>
      <x:c r="Y32" s="50"/>
      <x:c r="Z32" s="50"/>
    </x:row>
    <x:row r="33">
      <x:c r="A33" s="50"/>
      <x:c r="B33" s="50"/>
      <x:c r="C33" s="50"/>
      <x:c r="D33" s="50"/>
      <x:c r="E33" s="50"/>
      <x:c r="F33" s="50"/>
      <x:c r="G33" s="50"/>
      <x:c r="H33" s="50"/>
      <x:c r="I33" s="50"/>
      <x:c r="J33" s="50"/>
      <x:c r="K33" s="50"/>
      <x:c r="L33" s="50"/>
      <x:c r="M33" s="50"/>
      <x:c r="N33" s="50"/>
      <x:c r="O33" s="50"/>
      <x:c r="P33" s="50"/>
      <x:c r="Q33" s="50"/>
      <x:c r="R33" s="50"/>
      <x:c r="S33" s="50"/>
      <x:c r="T33" s="50"/>
      <x:c r="U33" s="50"/>
      <x:c r="V33" s="50"/>
      <x:c r="W33" s="50"/>
      <x:c r="X33" s="50"/>
      <x:c r="Y33" s="50"/>
      <x:c r="Z33" s="50"/>
    </x:row>
    <x:row r="34">
      <x:c r="A34" s="50"/>
      <x:c r="B34" s="50"/>
      <x:c r="C34" s="50"/>
      <x:c r="D34" s="50"/>
      <x:c r="E34" s="50"/>
      <x:c r="F34" s="50"/>
      <x:c r="G34" s="50"/>
      <x:c r="H34" s="50"/>
      <x:c r="I34" s="50"/>
      <x:c r="J34" s="50"/>
      <x:c r="K34" s="50"/>
      <x:c r="L34" s="50"/>
      <x:c r="M34" s="50"/>
      <x:c r="N34" s="50"/>
      <x:c r="O34" s="50"/>
      <x:c r="P34" s="50"/>
      <x:c r="Q34" s="50"/>
      <x:c r="R34" s="50"/>
      <x:c r="S34" s="50"/>
      <x:c r="T34" s="50"/>
      <x:c r="U34" s="50"/>
      <x:c r="V34" s="50"/>
      <x:c r="W34" s="50"/>
      <x:c r="X34" s="50"/>
      <x:c r="Y34" s="50"/>
      <x:c r="Z34" s="50"/>
    </x:row>
    <x:row r="35">
      <x:c r="A35" s="50"/>
      <x:c r="B35" s="50"/>
      <x:c r="C35" s="50"/>
      <x:c r="D35" s="50"/>
      <x:c r="E35" s="50"/>
      <x:c r="F35" s="50"/>
      <x:c r="G35" s="50"/>
      <x:c r="H35" s="50"/>
      <x:c r="I35" s="50"/>
      <x:c r="J35" s="50"/>
      <x:c r="K35" s="50"/>
      <x:c r="L35" s="50"/>
      <x:c r="M35" s="50"/>
      <x:c r="N35" s="50"/>
      <x:c r="O35" s="50"/>
      <x:c r="P35" s="50"/>
      <x:c r="Q35" s="50"/>
      <x:c r="R35" s="50"/>
      <x:c r="S35" s="50"/>
      <x:c r="T35" s="50"/>
      <x:c r="U35" s="50"/>
      <x:c r="V35" s="50"/>
      <x:c r="W35" s="50"/>
      <x:c r="X35" s="50"/>
      <x:c r="Y35" s="50"/>
      <x:c r="Z35" s="50"/>
    </x:row>
    <x:row r="36">
      <x:c r="A36" s="50"/>
      <x:c r="B36" s="50"/>
      <x:c r="C36" s="50"/>
      <x:c r="D36" s="50"/>
      <x:c r="E36" s="50"/>
      <x:c r="F36" s="50"/>
      <x:c r="G36" s="50"/>
      <x:c r="H36" s="50"/>
      <x:c r="I36" s="50"/>
      <x:c r="J36" s="50"/>
      <x:c r="K36" s="50"/>
      <x:c r="L36" s="50"/>
      <x:c r="M36" s="50"/>
      <x:c r="N36" s="50"/>
      <x:c r="O36" s="50"/>
      <x:c r="P36" s="50"/>
      <x:c r="Q36" s="50"/>
      <x:c r="R36" s="50"/>
      <x:c r="S36" s="50"/>
      <x:c r="T36" s="50"/>
      <x:c r="U36" s="50"/>
      <x:c r="V36" s="50"/>
      <x:c r="W36" s="50"/>
      <x:c r="X36" s="50"/>
      <x:c r="Y36" s="50"/>
      <x:c r="Z36" s="50"/>
    </x:row>
    <x:row r="37">
      <x:c r="A37" s="50"/>
      <x:c r="B37" s="50"/>
      <x:c r="C37" s="50"/>
      <x:c r="D37" s="50"/>
      <x:c r="E37" s="50"/>
      <x:c r="F37" s="50"/>
      <x:c r="G37" s="50"/>
      <x:c r="H37" s="50"/>
      <x:c r="I37" s="50"/>
      <x:c r="J37" s="50"/>
      <x:c r="K37" s="50"/>
      <x:c r="L37" s="50"/>
      <x:c r="M37" s="50"/>
      <x:c r="N37" s="50"/>
      <x:c r="O37" s="50"/>
      <x:c r="P37" s="50"/>
      <x:c r="Q37" s="50"/>
      <x:c r="R37" s="50"/>
      <x:c r="S37" s="50"/>
      <x:c r="T37" s="50"/>
      <x:c r="U37" s="50"/>
      <x:c r="V37" s="50"/>
      <x:c r="W37" s="50"/>
      <x:c r="X37" s="50"/>
      <x:c r="Y37" s="50"/>
      <x:c r="Z37" s="50"/>
    </x:row>
    <x:row r="38">
      <x:c r="A38" s="50"/>
      <x:c r="B38" s="50"/>
      <x:c r="C38" s="50"/>
      <x:c r="D38" s="50"/>
      <x:c r="E38" s="50"/>
      <x:c r="F38" s="50"/>
      <x:c r="G38" s="50"/>
      <x:c r="H38" s="50"/>
      <x:c r="I38" s="50"/>
      <x:c r="J38" s="50"/>
      <x:c r="K38" s="50"/>
      <x:c r="L38" s="50"/>
      <x:c r="M38" s="50"/>
      <x:c r="N38" s="50"/>
      <x:c r="O38" s="50"/>
      <x:c r="P38" s="50"/>
      <x:c r="Q38" s="50"/>
      <x:c r="R38" s="50"/>
      <x:c r="S38" s="50"/>
      <x:c r="T38" s="50"/>
      <x:c r="U38" s="50"/>
      <x:c r="V38" s="50"/>
      <x:c r="W38" s="50"/>
      <x:c r="X38" s="50"/>
      <x:c r="Y38" s="50"/>
      <x:c r="Z38" s="50"/>
    </x:row>
    <x:row r="39">
      <x:c r="A39" s="50"/>
      <x:c r="B39" s="50"/>
      <x:c r="C39" s="50"/>
      <x:c r="D39" s="50"/>
      <x:c r="E39" s="50"/>
      <x:c r="F39" s="50"/>
      <x:c r="G39" s="50"/>
      <x:c r="H39" s="50"/>
      <x:c r="I39" s="50"/>
      <x:c r="J39" s="50"/>
      <x:c r="K39" s="50"/>
      <x:c r="L39" s="50"/>
      <x:c r="M39" s="50"/>
      <x:c r="N39" s="50"/>
      <x:c r="O39" s="50"/>
      <x:c r="P39" s="50"/>
      <x:c r="Q39" s="50"/>
      <x:c r="R39" s="50"/>
      <x:c r="S39" s="50"/>
      <x:c r="T39" s="50"/>
      <x:c r="U39" s="50"/>
      <x:c r="V39" s="50"/>
      <x:c r="W39" s="50"/>
      <x:c r="X39" s="50"/>
      <x:c r="Y39" s="50"/>
      <x:c r="Z39" s="50"/>
    </x:row>
    <x:row r="40">
      <x:c r="A40" s="50"/>
      <x:c r="B40" s="50"/>
      <x:c r="C40" s="50"/>
      <x:c r="D40" s="50"/>
      <x:c r="E40" s="50"/>
      <x:c r="F40" s="50"/>
      <x:c r="G40" s="50"/>
      <x:c r="H40" s="50"/>
      <x:c r="I40" s="50"/>
      <x:c r="J40" s="50"/>
      <x:c r="K40" s="50"/>
      <x:c r="L40" s="50"/>
      <x:c r="M40" s="50"/>
      <x:c r="N40" s="50"/>
      <x:c r="O40" s="50"/>
      <x:c r="P40" s="50"/>
      <x:c r="Q40" s="50"/>
      <x:c r="R40" s="50"/>
      <x:c r="S40" s="50"/>
      <x:c r="T40" s="50"/>
      <x:c r="U40" s="50"/>
      <x:c r="V40" s="50"/>
      <x:c r="W40" s="50"/>
      <x:c r="X40" s="50"/>
      <x:c r="Y40" s="50"/>
      <x:c r="Z40" s="50"/>
    </x:row>
    <x:row r="41">
      <x:c r="A41" s="50"/>
      <x:c r="B41" s="50"/>
      <x:c r="C41" s="50"/>
      <x:c r="D41" s="50"/>
      <x:c r="E41" s="50"/>
      <x:c r="F41" s="50"/>
      <x:c r="G41" s="50"/>
      <x:c r="H41" s="50"/>
      <x:c r="I41" s="50"/>
      <x:c r="J41" s="50"/>
      <x:c r="K41" s="50"/>
      <x:c r="L41" s="50"/>
      <x:c r="M41" s="50"/>
      <x:c r="N41" s="50"/>
      <x:c r="O41" s="50"/>
      <x:c r="P41" s="50"/>
      <x:c r="Q41" s="50"/>
      <x:c r="R41" s="50"/>
      <x:c r="S41" s="50"/>
      <x:c r="T41" s="50"/>
      <x:c r="U41" s="50"/>
      <x:c r="V41" s="50"/>
      <x:c r="W41" s="50"/>
      <x:c r="X41" s="50"/>
      <x:c r="Y41" s="50"/>
      <x:c r="Z41" s="50"/>
    </x:row>
    <x:row r="42">
      <x:c r="A42" s="50"/>
      <x:c r="B42" s="50"/>
      <x:c r="C42" s="50"/>
      <x:c r="D42" s="50"/>
      <x:c r="E42" s="50"/>
      <x:c r="F42" s="50"/>
      <x:c r="G42" s="50"/>
      <x:c r="H42" s="50"/>
      <x:c r="I42" s="50"/>
      <x:c r="J42" s="50"/>
      <x:c r="K42" s="50"/>
      <x:c r="L42" s="50"/>
      <x:c r="M42" s="50"/>
      <x:c r="N42" s="50"/>
      <x:c r="O42" s="50"/>
      <x:c r="P42" s="50"/>
      <x:c r="Q42" s="50"/>
      <x:c r="R42" s="50"/>
      <x:c r="S42" s="50"/>
      <x:c r="T42" s="50"/>
      <x:c r="U42" s="50"/>
      <x:c r="V42" s="50"/>
      <x:c r="W42" s="50"/>
      <x:c r="X42" s="50"/>
      <x:c r="Y42" s="50"/>
      <x:c r="Z42" s="50"/>
    </x:row>
    <x:row r="43">
      <x:c r="A43" s="50"/>
      <x:c r="B43" s="50"/>
      <x:c r="C43" s="50"/>
      <x:c r="D43" s="50"/>
      <x:c r="E43" s="50"/>
      <x:c r="F43" s="50"/>
      <x:c r="G43" s="50"/>
      <x:c r="H43" s="50"/>
      <x:c r="I43" s="50"/>
      <x:c r="J43" s="50"/>
      <x:c r="K43" s="50"/>
      <x:c r="L43" s="50"/>
      <x:c r="M43" s="50"/>
      <x:c r="N43" s="50"/>
      <x:c r="O43" s="50"/>
      <x:c r="P43" s="50"/>
      <x:c r="Q43" s="50"/>
      <x:c r="R43" s="50"/>
      <x:c r="S43" s="50"/>
      <x:c r="T43" s="50"/>
      <x:c r="U43" s="50"/>
      <x:c r="V43" s="50"/>
      <x:c r="W43" s="50"/>
      <x:c r="X43" s="50"/>
      <x:c r="Y43" s="50"/>
      <x:c r="Z43" s="50"/>
    </x:row>
    <x:row r="44">
      <x:c r="A44" s="50"/>
      <x:c r="B44" s="50"/>
      <x:c r="C44" s="50"/>
      <x:c r="D44" s="50"/>
      <x:c r="E44" s="50"/>
      <x:c r="F44" s="50"/>
      <x:c r="G44" s="50"/>
      <x:c r="H44" s="50"/>
      <x:c r="I44" s="50"/>
      <x:c r="J44" s="50"/>
      <x:c r="K44" s="50"/>
      <x:c r="L44" s="50"/>
      <x:c r="M44" s="50"/>
      <x:c r="N44" s="50"/>
      <x:c r="O44" s="50"/>
      <x:c r="P44" s="50"/>
      <x:c r="Q44" s="50"/>
      <x:c r="R44" s="50"/>
      <x:c r="S44" s="50"/>
      <x:c r="T44" s="50"/>
      <x:c r="U44" s="50"/>
      <x:c r="V44" s="50"/>
      <x:c r="W44" s="50"/>
      <x:c r="X44" s="50"/>
      <x:c r="Y44" s="50"/>
      <x:c r="Z44" s="50"/>
    </x:row>
    <x:row r="45">
      <x:c r="A45" s="50"/>
      <x:c r="B45" s="50"/>
      <x:c r="C45" s="50"/>
      <x:c r="D45" s="50"/>
      <x:c r="E45" s="50"/>
      <x:c r="F45" s="50"/>
      <x:c r="G45" s="50"/>
      <x:c r="H45" s="50"/>
      <x:c r="I45" s="50"/>
      <x:c r="J45" s="50"/>
      <x:c r="K45" s="50"/>
      <x:c r="L45" s="50"/>
      <x:c r="M45" s="50"/>
      <x:c r="N45" s="50"/>
      <x:c r="O45" s="50"/>
      <x:c r="P45" s="50"/>
      <x:c r="Q45" s="50"/>
      <x:c r="R45" s="50"/>
      <x:c r="S45" s="50"/>
      <x:c r="T45" s="50"/>
      <x:c r="U45" s="50"/>
      <x:c r="V45" s="50"/>
      <x:c r="W45" s="50"/>
      <x:c r="X45" s="50"/>
      <x:c r="Y45" s="50"/>
      <x:c r="Z45" s="50"/>
    </x:row>
    <x:row r="46">
      <x:c r="A46" s="50"/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  <x:c r="O46" s="50"/>
      <x:c r="P46" s="50"/>
      <x:c r="Q46" s="50"/>
      <x:c r="R46" s="50"/>
      <x:c r="S46" s="50"/>
      <x:c r="T46" s="50"/>
      <x:c r="U46" s="50"/>
      <x:c r="V46" s="50"/>
      <x:c r="W46" s="50"/>
      <x:c r="X46" s="50"/>
      <x:c r="Y46" s="50"/>
      <x:c r="Z46" s="50"/>
    </x:row>
    <x:row r="47">
      <x:c r="A47" s="50"/>
      <x:c r="B47" s="50"/>
      <x:c r="C47" s="50"/>
      <x:c r="D47" s="50"/>
      <x:c r="E47" s="50"/>
      <x:c r="F47" s="50"/>
      <x:c r="G47" s="50"/>
      <x:c r="H47" s="50"/>
      <x:c r="I47" s="50"/>
      <x:c r="J47" s="50"/>
      <x:c r="K47" s="50"/>
      <x:c r="L47" s="50"/>
      <x:c r="M47" s="50"/>
      <x:c r="N47" s="50"/>
      <x:c r="O47" s="50"/>
      <x:c r="P47" s="50"/>
      <x:c r="Q47" s="50"/>
      <x:c r="R47" s="50"/>
      <x:c r="S47" s="50"/>
      <x:c r="T47" s="50"/>
      <x:c r="U47" s="50"/>
      <x:c r="V47" s="50"/>
      <x:c r="W47" s="50"/>
      <x:c r="X47" s="50"/>
      <x:c r="Y47" s="50"/>
      <x:c r="Z47" s="50"/>
    </x:row>
    <x:row r="48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  <x:c r="O48" s="50"/>
      <x:c r="P48" s="50"/>
      <x:c r="Q48" s="50"/>
      <x:c r="R48" s="50"/>
      <x:c r="S48" s="50"/>
      <x:c r="T48" s="50"/>
      <x:c r="U48" s="50"/>
      <x:c r="V48" s="50"/>
      <x:c r="W48" s="50"/>
      <x:c r="X48" s="50"/>
      <x:c r="Y48" s="50"/>
      <x:c r="Z48" s="50"/>
    </x:row>
    <x:row r="49">
      <x:c r="A49" s="50"/>
      <x:c r="B49" s="50"/>
      <x:c r="C49" s="50"/>
      <x:c r="D49" s="50"/>
      <x:c r="E49" s="50"/>
      <x:c r="F49" s="50"/>
      <x:c r="G49" s="50"/>
      <x:c r="H49" s="50"/>
      <x:c r="I49" s="50"/>
      <x:c r="J49" s="50"/>
      <x:c r="K49" s="50"/>
      <x:c r="L49" s="50"/>
      <x:c r="M49" s="50"/>
      <x:c r="N49" s="50"/>
      <x:c r="O49" s="50"/>
      <x:c r="P49" s="50"/>
      <x:c r="Q49" s="50"/>
      <x:c r="R49" s="50"/>
      <x:c r="S49" s="50"/>
      <x:c r="T49" s="50"/>
      <x:c r="U49" s="50"/>
      <x:c r="V49" s="50"/>
      <x:c r="W49" s="50"/>
      <x:c r="X49" s="50"/>
      <x:c r="Y49" s="50"/>
      <x:c r="Z49" s="50"/>
    </x:row>
    <x:row r="50">
      <x:c r="A50" s="50"/>
      <x:c r="B50" s="50"/>
      <x:c r="C50" s="50"/>
      <x:c r="D50" s="50"/>
      <x:c r="E50" s="50"/>
      <x:c r="F50" s="50"/>
      <x:c r="G50" s="50"/>
      <x:c r="H50" s="50"/>
      <x:c r="I50" s="50"/>
      <x:c r="J50" s="50"/>
      <x:c r="K50" s="50"/>
      <x:c r="L50" s="50"/>
      <x:c r="M50" s="50"/>
      <x:c r="N50" s="50"/>
      <x:c r="O50" s="50"/>
      <x:c r="P50" s="50"/>
      <x:c r="Q50" s="50"/>
      <x:c r="R50" s="50"/>
      <x:c r="S50" s="50"/>
      <x:c r="T50" s="50"/>
      <x:c r="U50" s="50"/>
      <x:c r="V50" s="50"/>
      <x:c r="W50" s="50"/>
      <x:c r="X50" s="50"/>
      <x:c r="Y50" s="50"/>
      <x:c r="Z50" s="50"/>
    </x:row>
    <x:row r="51">
      <x:c r="A51" s="50"/>
      <x:c r="B51" s="50"/>
      <x:c r="C51" s="50"/>
      <x:c r="D51" s="50"/>
      <x:c r="E51" s="50"/>
      <x:c r="F51" s="50"/>
      <x:c r="G51" s="50"/>
      <x:c r="H51" s="50"/>
      <x:c r="I51" s="50"/>
      <x:c r="J51" s="50"/>
      <x:c r="K51" s="50"/>
      <x:c r="L51" s="50"/>
      <x:c r="M51" s="50"/>
      <x:c r="N51" s="50"/>
      <x:c r="O51" s="50"/>
      <x:c r="P51" s="50"/>
      <x:c r="Q51" s="50"/>
      <x:c r="R51" s="50"/>
      <x:c r="S51" s="50"/>
      <x:c r="T51" s="50"/>
      <x:c r="U51" s="50"/>
      <x:c r="V51" s="50"/>
      <x:c r="W51" s="50"/>
      <x:c r="X51" s="50"/>
      <x:c r="Y51" s="50"/>
      <x:c r="Z51" s="50"/>
    </x:row>
    <x:row r="52">
      <x:c r="A52" s="50"/>
      <x:c r="B52" s="50"/>
      <x:c r="C52" s="50"/>
      <x:c r="D52" s="50"/>
      <x:c r="E52" s="50"/>
      <x:c r="F52" s="50"/>
      <x:c r="G52" s="50"/>
      <x:c r="H52" s="50"/>
      <x:c r="I52" s="50"/>
      <x:c r="J52" s="50"/>
      <x:c r="K52" s="50"/>
      <x:c r="L52" s="50"/>
      <x:c r="M52" s="50"/>
      <x:c r="N52" s="50"/>
      <x:c r="O52" s="50"/>
      <x:c r="P52" s="50"/>
      <x:c r="Q52" s="50"/>
      <x:c r="R52" s="50"/>
      <x:c r="S52" s="50"/>
      <x:c r="T52" s="50"/>
      <x:c r="U52" s="50"/>
      <x:c r="V52" s="50"/>
      <x:c r="W52" s="50"/>
      <x:c r="X52" s="50"/>
      <x:c r="Y52" s="50"/>
      <x:c r="Z52" s="50"/>
    </x:row>
    <x:row r="53">
      <x:c r="A53" s="50"/>
      <x:c r="B53" s="50"/>
      <x:c r="C53" s="50"/>
      <x:c r="D53" s="50"/>
      <x:c r="E53" s="50"/>
      <x:c r="F53" s="50"/>
      <x:c r="G53" s="50"/>
      <x:c r="H53" s="50"/>
      <x:c r="I53" s="50"/>
      <x:c r="J53" s="50"/>
      <x:c r="K53" s="50"/>
      <x:c r="L53" s="50"/>
      <x:c r="M53" s="50"/>
      <x:c r="N53" s="50"/>
      <x:c r="O53" s="50"/>
      <x:c r="P53" s="50"/>
      <x:c r="Q53" s="50"/>
      <x:c r="R53" s="50"/>
      <x:c r="S53" s="50"/>
      <x:c r="T53" s="50"/>
      <x:c r="U53" s="50"/>
      <x:c r="V53" s="50"/>
      <x:c r="W53" s="50"/>
      <x:c r="X53" s="50"/>
      <x:c r="Y53" s="50"/>
      <x:c r="Z53" s="50"/>
    </x:row>
    <x:row r="54">
      <x:c r="A54" s="50"/>
      <x:c r="B54" s="50"/>
      <x:c r="C54" s="50"/>
      <x:c r="D54" s="50"/>
      <x:c r="E54" s="50"/>
      <x:c r="F54" s="50"/>
      <x:c r="G54" s="50"/>
      <x:c r="H54" s="50"/>
      <x:c r="I54" s="50"/>
      <x:c r="J54" s="50"/>
      <x:c r="K54" s="50"/>
      <x:c r="L54" s="50"/>
      <x:c r="M54" s="50"/>
      <x:c r="N54" s="50"/>
      <x:c r="O54" s="50"/>
      <x:c r="P54" s="50"/>
      <x:c r="Q54" s="50"/>
      <x:c r="R54" s="50"/>
      <x:c r="S54" s="50"/>
      <x:c r="T54" s="50"/>
      <x:c r="U54" s="50"/>
      <x:c r="V54" s="50"/>
      <x:c r="W54" s="50"/>
      <x:c r="X54" s="50"/>
      <x:c r="Y54" s="50"/>
      <x:c r="Z54" s="50"/>
    </x:row>
    <x:row r="55">
      <x:c r="A55" s="50"/>
      <x:c r="B55" s="50"/>
      <x:c r="C55" s="50"/>
      <x:c r="D55" s="50"/>
      <x:c r="E55" s="50"/>
      <x:c r="F55" s="50"/>
      <x:c r="G55" s="50"/>
      <x:c r="H55" s="50"/>
      <x:c r="I55" s="50"/>
      <x:c r="J55" s="50"/>
      <x:c r="K55" s="50"/>
      <x:c r="L55" s="50"/>
      <x:c r="M55" s="50"/>
      <x:c r="N55" s="50"/>
      <x:c r="O55" s="50"/>
      <x:c r="P55" s="50"/>
      <x:c r="Q55" s="50"/>
      <x:c r="R55" s="50"/>
      <x:c r="S55" s="50"/>
      <x:c r="T55" s="50"/>
      <x:c r="U55" s="50"/>
      <x:c r="V55" s="50"/>
      <x:c r="W55" s="50"/>
      <x:c r="X55" s="50"/>
      <x:c r="Y55" s="50"/>
      <x:c r="Z55" s="50"/>
    </x:row>
    <x:row r="56">
      <x:c r="A56" s="50"/>
      <x:c r="B56" s="50"/>
      <x:c r="C56" s="50"/>
      <x:c r="D56" s="50"/>
      <x:c r="E56" s="50"/>
      <x:c r="F56" s="50"/>
      <x:c r="G56" s="50"/>
      <x:c r="H56" s="50"/>
      <x:c r="I56" s="50"/>
      <x:c r="J56" s="50"/>
      <x:c r="K56" s="50"/>
      <x:c r="L56" s="50"/>
      <x:c r="M56" s="50"/>
      <x:c r="N56" s="50"/>
      <x:c r="O56" s="50"/>
      <x:c r="P56" s="50"/>
      <x:c r="Q56" s="50"/>
      <x:c r="R56" s="50"/>
      <x:c r="S56" s="50"/>
      <x:c r="T56" s="50"/>
      <x:c r="U56" s="50"/>
      <x:c r="V56" s="50"/>
      <x:c r="W56" s="50"/>
      <x:c r="X56" s="50"/>
      <x:c r="Y56" s="50"/>
      <x:c r="Z56" s="50"/>
    </x:row>
    <x:row r="57">
      <x:c r="A57" s="50"/>
      <x:c r="B57" s="50"/>
      <x:c r="C57" s="50"/>
      <x:c r="D57" s="50"/>
      <x:c r="E57" s="50"/>
      <x:c r="F57" s="50"/>
      <x:c r="G57" s="50"/>
      <x:c r="H57" s="50"/>
      <x:c r="I57" s="50"/>
      <x:c r="J57" s="50"/>
      <x:c r="K57" s="50"/>
      <x:c r="L57" s="50"/>
      <x:c r="M57" s="50"/>
      <x:c r="N57" s="50"/>
      <x:c r="O57" s="50"/>
      <x:c r="P57" s="50"/>
      <x:c r="Q57" s="50"/>
      <x:c r="R57" s="50"/>
      <x:c r="S57" s="50"/>
      <x:c r="T57" s="50"/>
      <x:c r="U57" s="50"/>
      <x:c r="V57" s="50"/>
      <x:c r="W57" s="50"/>
      <x:c r="X57" s="50"/>
      <x:c r="Y57" s="50"/>
      <x:c r="Z57" s="50"/>
    </x:row>
    <x:row r="58">
      <x:c r="A58" s="50"/>
      <x:c r="B58" s="50"/>
      <x:c r="C58" s="50"/>
      <x:c r="D58" s="50"/>
      <x:c r="E58" s="50"/>
      <x:c r="F58" s="50"/>
      <x:c r="G58" s="50"/>
      <x:c r="H58" s="50"/>
      <x:c r="I58" s="50"/>
      <x:c r="J58" s="50"/>
      <x:c r="K58" s="50"/>
      <x:c r="L58" s="50"/>
      <x:c r="M58" s="50"/>
      <x:c r="N58" s="50"/>
      <x:c r="O58" s="50"/>
      <x:c r="P58" s="50"/>
      <x:c r="Q58" s="50"/>
      <x:c r="R58" s="50"/>
      <x:c r="S58" s="50"/>
      <x:c r="T58" s="50"/>
      <x:c r="U58" s="50"/>
      <x:c r="V58" s="50"/>
      <x:c r="W58" s="50"/>
      <x:c r="X58" s="50"/>
      <x:c r="Y58" s="50"/>
      <x:c r="Z58" s="50"/>
    </x:row>
    <x:row r="59">
      <x:c r="A59" s="50"/>
      <x:c r="B59" s="50"/>
      <x:c r="C59" s="50"/>
      <x:c r="D59" s="50"/>
      <x:c r="E59" s="50"/>
      <x:c r="F59" s="50"/>
      <x:c r="G59" s="50"/>
      <x:c r="H59" s="50"/>
      <x:c r="I59" s="50"/>
      <x:c r="J59" s="50"/>
      <x:c r="K59" s="50"/>
      <x:c r="L59" s="50"/>
      <x:c r="M59" s="50"/>
      <x:c r="N59" s="50"/>
      <x:c r="O59" s="50"/>
      <x:c r="P59" s="50"/>
      <x:c r="Q59" s="50"/>
      <x:c r="R59" s="50"/>
      <x:c r="S59" s="50"/>
      <x:c r="T59" s="50"/>
      <x:c r="U59" s="50"/>
      <x:c r="V59" s="50"/>
      <x:c r="W59" s="50"/>
      <x:c r="X59" s="50"/>
      <x:c r="Y59" s="50"/>
      <x:c r="Z59" s="50"/>
    </x:row>
    <x:row r="60">
      <x:c r="A60" s="50"/>
      <x:c r="B60" s="50"/>
      <x:c r="C60" s="50"/>
      <x:c r="D60" s="50"/>
      <x:c r="E60" s="50"/>
      <x:c r="F60" s="50"/>
      <x:c r="G60" s="50"/>
      <x:c r="H60" s="50"/>
      <x:c r="I60" s="50"/>
      <x:c r="J60" s="50"/>
      <x:c r="K60" s="50"/>
      <x:c r="L60" s="50"/>
      <x:c r="M60" s="50"/>
      <x:c r="N60" s="50"/>
      <x:c r="O60" s="50"/>
      <x:c r="P60" s="50"/>
      <x:c r="Q60" s="50"/>
      <x:c r="R60" s="50"/>
      <x:c r="S60" s="50"/>
      <x:c r="T60" s="50"/>
      <x:c r="U60" s="50"/>
      <x:c r="V60" s="50"/>
      <x:c r="W60" s="50"/>
      <x:c r="X60" s="50"/>
      <x:c r="Y60" s="50"/>
      <x:c r="Z60" s="50"/>
    </x:row>
    <x:row r="61">
      <x:c r="A61" s="50"/>
      <x:c r="B61" s="50"/>
      <x:c r="C61" s="50"/>
      <x:c r="D61" s="50"/>
      <x:c r="E61" s="50"/>
      <x:c r="F61" s="50"/>
      <x:c r="G61" s="50"/>
      <x:c r="H61" s="50"/>
      <x:c r="I61" s="50"/>
      <x:c r="J61" s="50"/>
      <x:c r="K61" s="50"/>
      <x:c r="L61" s="50"/>
      <x:c r="M61" s="50"/>
      <x:c r="N61" s="50"/>
      <x:c r="O61" s="50"/>
      <x:c r="P61" s="50"/>
      <x:c r="Q61" s="50"/>
      <x:c r="R61" s="50"/>
      <x:c r="S61" s="50"/>
      <x:c r="T61" s="50"/>
      <x:c r="U61" s="50"/>
      <x:c r="V61" s="50"/>
      <x:c r="W61" s="50"/>
      <x:c r="X61" s="50"/>
      <x:c r="Y61" s="50"/>
      <x:c r="Z61" s="50"/>
    </x:row>
    <x:row r="62">
      <x:c r="A62" s="50"/>
      <x:c r="B62" s="50"/>
      <x:c r="C62" s="50"/>
      <x:c r="D62" s="50"/>
      <x:c r="E62" s="50"/>
      <x:c r="F62" s="50"/>
      <x:c r="G62" s="50"/>
      <x:c r="H62" s="50"/>
      <x:c r="I62" s="50"/>
      <x:c r="J62" s="50"/>
      <x:c r="K62" s="50"/>
      <x:c r="L62" s="50"/>
      <x:c r="M62" s="50"/>
      <x:c r="N62" s="50"/>
      <x:c r="O62" s="50"/>
      <x:c r="P62" s="50"/>
      <x:c r="Q62" s="50"/>
      <x:c r="R62" s="50"/>
      <x:c r="S62" s="50"/>
      <x:c r="T62" s="50"/>
      <x:c r="U62" s="50"/>
      <x:c r="V62" s="50"/>
      <x:c r="W62" s="50"/>
      <x:c r="X62" s="50"/>
      <x:c r="Y62" s="50"/>
      <x:c r="Z62" s="50"/>
    </x:row>
    <x:row r="63">
      <x:c r="A63" s="50"/>
      <x:c r="B63" s="50"/>
      <x:c r="C63" s="50"/>
      <x:c r="D63" s="50"/>
      <x:c r="E63" s="50"/>
      <x:c r="F63" s="50"/>
      <x:c r="G63" s="50"/>
      <x:c r="H63" s="50"/>
      <x:c r="I63" s="50"/>
      <x:c r="J63" s="50"/>
      <x:c r="K63" s="50"/>
      <x:c r="L63" s="50"/>
      <x:c r="M63" s="50"/>
      <x:c r="N63" s="50"/>
      <x:c r="O63" s="50"/>
      <x:c r="P63" s="50"/>
      <x:c r="Q63" s="50"/>
      <x:c r="R63" s="50"/>
      <x:c r="S63" s="50"/>
      <x:c r="T63" s="50"/>
      <x:c r="U63" s="50"/>
      <x:c r="V63" s="50"/>
      <x:c r="W63" s="50"/>
      <x:c r="X63" s="50"/>
      <x:c r="Y63" s="50"/>
      <x:c r="Z63" s="50"/>
    </x:row>
    <x:row r="64">
      <x:c r="A64" s="50"/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  <x:c r="O64" s="50"/>
      <x:c r="P64" s="50"/>
      <x:c r="Q64" s="50"/>
      <x:c r="R64" s="50"/>
      <x:c r="S64" s="50"/>
      <x:c r="T64" s="50"/>
      <x:c r="U64" s="50"/>
      <x:c r="V64" s="50"/>
      <x:c r="W64" s="50"/>
      <x:c r="X64" s="50"/>
      <x:c r="Y64" s="50"/>
      <x:c r="Z64" s="50"/>
    </x:row>
    <x:row r="65">
      <x:c r="A65" s="50"/>
      <x:c r="B65" s="50"/>
      <x:c r="C65" s="50"/>
      <x:c r="D65" s="50"/>
      <x:c r="E65" s="50"/>
      <x:c r="F65" s="50"/>
      <x:c r="G65" s="50"/>
      <x:c r="H65" s="50"/>
      <x:c r="I65" s="50"/>
      <x:c r="J65" s="50"/>
      <x:c r="K65" s="50"/>
      <x:c r="L65" s="50"/>
      <x:c r="M65" s="50"/>
      <x:c r="N65" s="50"/>
      <x:c r="O65" s="50"/>
      <x:c r="P65" s="50"/>
      <x:c r="Q65" s="50"/>
      <x:c r="R65" s="50"/>
      <x:c r="S65" s="50"/>
      <x:c r="T65" s="50"/>
      <x:c r="U65" s="50"/>
      <x:c r="V65" s="50"/>
      <x:c r="W65" s="50"/>
      <x:c r="X65" s="50"/>
      <x:c r="Y65" s="50"/>
      <x:c r="Z65" s="50"/>
    </x:row>
    <x:row r="66">
      <x:c r="A66" s="50"/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  <x:c r="O66" s="50"/>
      <x:c r="P66" s="50"/>
      <x:c r="Q66" s="50"/>
      <x:c r="R66" s="50"/>
      <x:c r="S66" s="50"/>
      <x:c r="T66" s="50"/>
      <x:c r="U66" s="50"/>
      <x:c r="V66" s="50"/>
      <x:c r="W66" s="50"/>
      <x:c r="X66" s="50"/>
      <x:c r="Y66" s="50"/>
      <x:c r="Z66" s="50"/>
    </x:row>
    <x:row r="67">
      <x:c r="A67" s="50"/>
      <x:c r="B67" s="50"/>
      <x:c r="C67" s="50"/>
      <x:c r="D67" s="50"/>
      <x:c r="E67" s="50"/>
      <x:c r="F67" s="50"/>
      <x:c r="G67" s="50"/>
      <x:c r="H67" s="50"/>
      <x:c r="I67" s="50"/>
      <x:c r="J67" s="50"/>
      <x:c r="K67" s="50"/>
      <x:c r="L67" s="50"/>
      <x:c r="M67" s="50"/>
      <x:c r="N67" s="50"/>
      <x:c r="O67" s="50"/>
      <x:c r="P67" s="50"/>
      <x:c r="Q67" s="50"/>
      <x:c r="R67" s="50"/>
      <x:c r="S67" s="50"/>
      <x:c r="T67" s="50"/>
      <x:c r="U67" s="50"/>
      <x:c r="V67" s="50"/>
      <x:c r="W67" s="50"/>
      <x:c r="X67" s="50"/>
      <x:c r="Y67" s="50"/>
      <x:c r="Z67" s="50"/>
    </x:row>
    <x:row r="68">
      <x:c r="A68" s="50"/>
      <x:c r="B68" s="50"/>
      <x:c r="C68" s="50"/>
      <x:c r="D68" s="50"/>
      <x:c r="E68" s="50"/>
      <x:c r="F68" s="50"/>
      <x:c r="G68" s="50"/>
      <x:c r="H68" s="50"/>
      <x:c r="I68" s="50"/>
      <x:c r="J68" s="50"/>
      <x:c r="K68" s="50"/>
      <x:c r="L68" s="50"/>
      <x:c r="M68" s="50"/>
      <x:c r="N68" s="50"/>
      <x:c r="O68" s="50"/>
      <x:c r="P68" s="50"/>
      <x:c r="Q68" s="50"/>
      <x:c r="R68" s="50"/>
      <x:c r="S68" s="50"/>
      <x:c r="T68" s="50"/>
      <x:c r="U68" s="50"/>
      <x:c r="V68" s="50"/>
      <x:c r="W68" s="50"/>
      <x:c r="X68" s="50"/>
      <x:c r="Y68" s="50"/>
      <x:c r="Z68" s="50"/>
    </x:row>
    <x:row r="69">
      <x:c r="A69" s="50"/>
      <x:c r="B69" s="50"/>
      <x:c r="C69" s="50"/>
      <x:c r="D69" s="50"/>
      <x:c r="E69" s="50"/>
      <x:c r="F69" s="50"/>
      <x:c r="G69" s="50"/>
      <x:c r="H69" s="50"/>
      <x:c r="I69" s="50"/>
      <x:c r="J69" s="50"/>
      <x:c r="K69" s="50"/>
      <x:c r="L69" s="50"/>
      <x:c r="M69" s="50"/>
      <x:c r="N69" s="50"/>
      <x:c r="O69" s="50"/>
      <x:c r="P69" s="50"/>
      <x:c r="Q69" s="50"/>
      <x:c r="R69" s="50"/>
      <x:c r="S69" s="50"/>
      <x:c r="T69" s="50"/>
      <x:c r="U69" s="50"/>
      <x:c r="V69" s="50"/>
      <x:c r="W69" s="50"/>
      <x:c r="X69" s="50"/>
      <x:c r="Y69" s="50"/>
      <x:c r="Z69" s="50"/>
    </x:row>
    <x:row r="70">
      <x:c r="A70" s="50"/>
      <x:c r="B70" s="50"/>
      <x:c r="C70" s="50"/>
      <x:c r="D70" s="50"/>
      <x:c r="E70" s="50"/>
      <x:c r="F70" s="50"/>
      <x:c r="G70" s="50"/>
      <x:c r="H70" s="50"/>
      <x:c r="I70" s="50"/>
      <x:c r="J70" s="50"/>
      <x:c r="K70" s="50"/>
      <x:c r="L70" s="50"/>
      <x:c r="M70" s="50"/>
      <x:c r="N70" s="50"/>
      <x:c r="O70" s="50"/>
      <x:c r="P70" s="50"/>
      <x:c r="Q70" s="50"/>
      <x:c r="R70" s="50"/>
      <x:c r="S70" s="50"/>
      <x:c r="T70" s="50"/>
      <x:c r="U70" s="50"/>
      <x:c r="V70" s="50"/>
      <x:c r="W70" s="50"/>
      <x:c r="X70" s="50"/>
      <x:c r="Y70" s="50"/>
      <x:c r="Z70" s="50"/>
    </x:row>
    <x:row r="71">
      <x:c r="A71" s="50"/>
      <x:c r="B71" s="50"/>
      <x:c r="C71" s="50"/>
      <x:c r="D71" s="50"/>
      <x:c r="E71" s="50"/>
      <x:c r="F71" s="50"/>
      <x:c r="G71" s="50"/>
      <x:c r="H71" s="50"/>
      <x:c r="I71" s="50"/>
      <x:c r="J71" s="50"/>
      <x:c r="K71" s="50"/>
      <x:c r="L71" s="50"/>
      <x:c r="M71" s="50"/>
      <x:c r="N71" s="50"/>
      <x:c r="O71" s="50"/>
      <x:c r="P71" s="50"/>
      <x:c r="Q71" s="50"/>
      <x:c r="R71" s="50"/>
      <x:c r="S71" s="50"/>
      <x:c r="T71" s="50"/>
      <x:c r="U71" s="50"/>
      <x:c r="V71" s="50"/>
      <x:c r="W71" s="50"/>
      <x:c r="X71" s="50"/>
      <x:c r="Y71" s="50"/>
      <x:c r="Z71" s="50"/>
    </x:row>
    <x:row r="72">
      <x:c r="A72" s="50"/>
      <x:c r="B72" s="50"/>
      <x:c r="C72" s="50"/>
      <x:c r="D72" s="50"/>
      <x:c r="E72" s="50"/>
      <x:c r="F72" s="50"/>
      <x:c r="G72" s="50"/>
      <x:c r="H72" s="50"/>
      <x:c r="I72" s="50"/>
      <x:c r="J72" s="50"/>
      <x:c r="K72" s="50"/>
      <x:c r="L72" s="50"/>
      <x:c r="M72" s="50"/>
      <x:c r="N72" s="50"/>
      <x:c r="O72" s="50"/>
      <x:c r="P72" s="50"/>
      <x:c r="Q72" s="50"/>
      <x:c r="R72" s="50"/>
      <x:c r="S72" s="50"/>
      <x:c r="T72" s="50"/>
      <x:c r="U72" s="50"/>
      <x:c r="V72" s="50"/>
      <x:c r="W72" s="50"/>
      <x:c r="X72" s="50"/>
      <x:c r="Y72" s="50"/>
      <x:c r="Z72" s="50"/>
    </x:row>
    <x:row r="73">
      <x:c r="A73" s="50"/>
      <x:c r="B73" s="50"/>
      <x:c r="C73" s="50"/>
      <x:c r="D73" s="50"/>
      <x:c r="E73" s="50"/>
      <x:c r="F73" s="50"/>
      <x:c r="G73" s="50"/>
      <x:c r="H73" s="50"/>
      <x:c r="I73" s="50"/>
      <x:c r="J73" s="50"/>
      <x:c r="K73" s="50"/>
      <x:c r="L73" s="50"/>
      <x:c r="M73" s="50"/>
      <x:c r="N73" s="50"/>
      <x:c r="O73" s="50"/>
      <x:c r="P73" s="50"/>
      <x:c r="Q73" s="50"/>
      <x:c r="R73" s="50"/>
      <x:c r="S73" s="50"/>
      <x:c r="T73" s="50"/>
      <x:c r="U73" s="50"/>
      <x:c r="V73" s="50"/>
      <x:c r="W73" s="50"/>
      <x:c r="X73" s="50"/>
      <x:c r="Y73" s="50"/>
      <x:c r="Z73" s="50"/>
    </x:row>
    <x:row r="74">
      <x:c r="A74" s="50"/>
      <x:c r="B74" s="50"/>
      <x:c r="C74" s="50"/>
      <x:c r="D74" s="50"/>
      <x:c r="E74" s="50"/>
      <x:c r="F74" s="50"/>
      <x:c r="G74" s="50"/>
      <x:c r="H74" s="50"/>
      <x:c r="I74" s="50"/>
      <x:c r="J74" s="50"/>
      <x:c r="K74" s="50"/>
      <x:c r="L74" s="50"/>
      <x:c r="M74" s="50"/>
      <x:c r="N74" s="50"/>
      <x:c r="O74" s="50"/>
      <x:c r="P74" s="50"/>
      <x:c r="Q74" s="50"/>
      <x:c r="R74" s="50"/>
      <x:c r="S74" s="50"/>
      <x:c r="T74" s="50"/>
      <x:c r="U74" s="50"/>
      <x:c r="V74" s="50"/>
      <x:c r="W74" s="50"/>
      <x:c r="X74" s="50"/>
      <x:c r="Y74" s="50"/>
      <x:c r="Z74" s="50"/>
    </x:row>
    <x:row r="75">
      <x:c r="A75" s="50"/>
      <x:c r="B75" s="50"/>
      <x:c r="C75" s="50"/>
      <x:c r="D75" s="50"/>
      <x:c r="E75" s="50"/>
      <x:c r="F75" s="50"/>
      <x:c r="G75" s="50"/>
      <x:c r="H75" s="50"/>
      <x:c r="I75" s="50"/>
      <x:c r="J75" s="50"/>
      <x:c r="K75" s="50"/>
      <x:c r="L75" s="50"/>
      <x:c r="M75" s="50"/>
      <x:c r="N75" s="50"/>
      <x:c r="O75" s="50"/>
      <x:c r="P75" s="50"/>
      <x:c r="Q75" s="50"/>
      <x:c r="R75" s="50"/>
      <x:c r="S75" s="50"/>
      <x:c r="T75" s="50"/>
      <x:c r="U75" s="50"/>
      <x:c r="V75" s="50"/>
      <x:c r="W75" s="50"/>
      <x:c r="X75" s="50"/>
      <x:c r="Y75" s="50"/>
      <x:c r="Z75" s="50"/>
    </x:row>
    <x:row r="76">
      <x:c r="A76" s="50"/>
      <x:c r="B76" s="50"/>
      <x:c r="C76" s="50"/>
      <x:c r="D76" s="50"/>
      <x:c r="E76" s="50"/>
      <x:c r="F76" s="50"/>
      <x:c r="G76" s="50"/>
      <x:c r="H76" s="50"/>
      <x:c r="I76" s="50"/>
      <x:c r="J76" s="50"/>
      <x:c r="K76" s="50"/>
      <x:c r="L76" s="50"/>
      <x:c r="M76" s="50"/>
      <x:c r="N76" s="50"/>
      <x:c r="O76" s="50"/>
      <x:c r="P76" s="50"/>
      <x:c r="Q76" s="50"/>
      <x:c r="R76" s="50"/>
      <x:c r="S76" s="50"/>
      <x:c r="T76" s="50"/>
      <x:c r="U76" s="50"/>
      <x:c r="V76" s="50"/>
      <x:c r="W76" s="50"/>
      <x:c r="X76" s="50"/>
      <x:c r="Y76" s="50"/>
      <x:c r="Z76" s="50"/>
    </x:row>
    <x:row r="77">
      <x:c r="A77" s="50"/>
      <x:c r="B77" s="50"/>
      <x:c r="C77" s="50"/>
      <x:c r="D77" s="50"/>
      <x:c r="E77" s="50"/>
      <x:c r="F77" s="50"/>
      <x:c r="G77" s="50"/>
      <x:c r="H77" s="50"/>
      <x:c r="I77" s="50"/>
      <x:c r="J77" s="50"/>
      <x:c r="K77" s="50"/>
      <x:c r="L77" s="50"/>
      <x:c r="M77" s="50"/>
      <x:c r="N77" s="50"/>
      <x:c r="O77" s="50"/>
      <x:c r="P77" s="50"/>
      <x:c r="Q77" s="50"/>
      <x:c r="R77" s="50"/>
      <x:c r="S77" s="50"/>
      <x:c r="T77" s="50"/>
      <x:c r="U77" s="50"/>
      <x:c r="V77" s="50"/>
      <x:c r="W77" s="50"/>
      <x:c r="X77" s="50"/>
      <x:c r="Y77" s="50"/>
      <x:c r="Z77" s="50"/>
    </x:row>
    <x:row r="78">
      <x:c r="A78" s="50"/>
      <x:c r="B78" s="50"/>
      <x:c r="C78" s="50"/>
      <x:c r="D78" s="50"/>
      <x:c r="E78" s="50"/>
      <x:c r="F78" s="50"/>
      <x:c r="G78" s="50"/>
      <x:c r="H78" s="50"/>
      <x:c r="I78" s="50"/>
      <x:c r="J78" s="50"/>
      <x:c r="K78" s="50"/>
      <x:c r="L78" s="50"/>
      <x:c r="M78" s="50"/>
      <x:c r="N78" s="50"/>
      <x:c r="O78" s="50"/>
      <x:c r="P78" s="50"/>
      <x:c r="Q78" s="50"/>
      <x:c r="R78" s="50"/>
      <x:c r="S78" s="50"/>
      <x:c r="T78" s="50"/>
      <x:c r="U78" s="50"/>
      <x:c r="V78" s="50"/>
      <x:c r="W78" s="50"/>
      <x:c r="X78" s="50"/>
      <x:c r="Y78" s="50"/>
      <x:c r="Z78" s="50"/>
    </x:row>
    <x:row r="79">
      <x:c r="A79" s="50"/>
      <x:c r="B79" s="50"/>
      <x:c r="C79" s="50"/>
      <x:c r="D79" s="50"/>
      <x:c r="E79" s="50"/>
      <x:c r="F79" s="50"/>
      <x:c r="G79" s="50"/>
      <x:c r="H79" s="50"/>
      <x:c r="I79" s="50"/>
      <x:c r="J79" s="50"/>
      <x:c r="K79" s="50"/>
      <x:c r="L79" s="50"/>
      <x:c r="M79" s="50"/>
      <x:c r="N79" s="50"/>
      <x:c r="O79" s="50"/>
      <x:c r="P79" s="50"/>
      <x:c r="Q79" s="50"/>
      <x:c r="R79" s="50"/>
      <x:c r="S79" s="50"/>
      <x:c r="T79" s="50"/>
      <x:c r="U79" s="50"/>
      <x:c r="V79" s="50"/>
      <x:c r="W79" s="50"/>
      <x:c r="X79" s="50"/>
      <x:c r="Y79" s="50"/>
      <x:c r="Z79" s="50"/>
    </x:row>
    <x:row r="80">
      <x:c r="A80" s="50"/>
      <x:c r="B80" s="50"/>
      <x:c r="C80" s="50"/>
      <x:c r="D80" s="50"/>
      <x:c r="E80" s="50"/>
      <x:c r="F80" s="50"/>
      <x:c r="G80" s="50"/>
      <x:c r="H80" s="50"/>
      <x:c r="I80" s="50"/>
      <x:c r="J80" s="50"/>
      <x:c r="K80" s="50"/>
      <x:c r="L80" s="50"/>
      <x:c r="M80" s="50"/>
      <x:c r="N80" s="50"/>
      <x:c r="O80" s="50"/>
      <x:c r="P80" s="50"/>
      <x:c r="Q80" s="50"/>
      <x:c r="R80" s="50"/>
      <x:c r="S80" s="50"/>
      <x:c r="T80" s="50"/>
      <x:c r="U80" s="50"/>
      <x:c r="V80" s="50"/>
      <x:c r="W80" s="50"/>
      <x:c r="X80" s="50"/>
      <x:c r="Y80" s="50"/>
      <x:c r="Z80" s="50"/>
    </x:row>
    <x:row r="81">
      <x:c r="A81" s="50"/>
      <x:c r="B81" s="50"/>
      <x:c r="C81" s="50"/>
      <x:c r="D81" s="50"/>
      <x:c r="E81" s="50"/>
      <x:c r="F81" s="50"/>
      <x:c r="G81" s="50"/>
      <x:c r="H81" s="50"/>
      <x:c r="I81" s="50"/>
      <x:c r="J81" s="50"/>
      <x:c r="K81" s="50"/>
      <x:c r="L81" s="50"/>
      <x:c r="M81" s="50"/>
      <x:c r="N81" s="50"/>
      <x:c r="O81" s="50"/>
      <x:c r="P81" s="50"/>
      <x:c r="Q81" s="50"/>
      <x:c r="R81" s="50"/>
      <x:c r="S81" s="50"/>
      <x:c r="T81" s="50"/>
      <x:c r="U81" s="50"/>
      <x:c r="V81" s="50"/>
      <x:c r="W81" s="50"/>
      <x:c r="X81" s="50"/>
      <x:c r="Y81" s="50"/>
      <x:c r="Z81" s="50"/>
    </x:row>
    <x:row r="82">
      <x:c r="A82" s="50"/>
      <x:c r="B82" s="50"/>
      <x:c r="C82" s="50"/>
      <x:c r="D82" s="50"/>
      <x:c r="E82" s="50"/>
      <x:c r="F82" s="50"/>
      <x:c r="G82" s="50"/>
      <x:c r="H82" s="50"/>
      <x:c r="I82" s="50"/>
      <x:c r="J82" s="50"/>
      <x:c r="K82" s="50"/>
      <x:c r="L82" s="50"/>
      <x:c r="M82" s="50"/>
      <x:c r="N82" s="50"/>
      <x:c r="O82" s="50"/>
      <x:c r="P82" s="50"/>
      <x:c r="Q82" s="50"/>
      <x:c r="R82" s="50"/>
      <x:c r="S82" s="50"/>
      <x:c r="T82" s="50"/>
      <x:c r="U82" s="50"/>
      <x:c r="V82" s="50"/>
      <x:c r="W82" s="50"/>
      <x:c r="X82" s="50"/>
      <x:c r="Y82" s="50"/>
      <x:c r="Z82" s="50"/>
    </x:row>
    <x:row r="83">
      <x:c r="A83" s="50"/>
      <x:c r="B83" s="50"/>
      <x:c r="C83" s="50"/>
      <x:c r="D83" s="50"/>
      <x:c r="E83" s="50"/>
      <x:c r="F83" s="50"/>
      <x:c r="G83" s="50"/>
      <x:c r="H83" s="50"/>
      <x:c r="I83" s="50"/>
      <x:c r="J83" s="50"/>
      <x:c r="K83" s="50"/>
      <x:c r="L83" s="50"/>
      <x:c r="M83" s="50"/>
      <x:c r="N83" s="50"/>
      <x:c r="O83" s="50"/>
      <x:c r="P83" s="50"/>
      <x:c r="Q83" s="50"/>
      <x:c r="R83" s="50"/>
      <x:c r="S83" s="50"/>
      <x:c r="T83" s="50"/>
      <x:c r="U83" s="50"/>
      <x:c r="V83" s="50"/>
      <x:c r="W83" s="50"/>
      <x:c r="X83" s="50"/>
      <x:c r="Y83" s="50"/>
      <x:c r="Z83" s="50"/>
    </x:row>
    <x:row r="84">
      <x:c r="A84" s="50"/>
      <x:c r="B84" s="50"/>
      <x:c r="C84" s="50"/>
      <x:c r="D84" s="50"/>
      <x:c r="E84" s="50"/>
      <x:c r="F84" s="50"/>
      <x:c r="G84" s="50"/>
      <x:c r="H84" s="50"/>
      <x:c r="I84" s="50"/>
      <x:c r="J84" s="50"/>
      <x:c r="K84" s="50"/>
      <x:c r="L84" s="50"/>
      <x:c r="M84" s="50"/>
      <x:c r="N84" s="50"/>
      <x:c r="O84" s="50"/>
      <x:c r="P84" s="50"/>
      <x:c r="Q84" s="50"/>
      <x:c r="R84" s="50"/>
      <x:c r="S84" s="50"/>
      <x:c r="T84" s="50"/>
      <x:c r="U84" s="50"/>
      <x:c r="V84" s="50"/>
      <x:c r="W84" s="50"/>
      <x:c r="X84" s="50"/>
      <x:c r="Y84" s="50"/>
      <x:c r="Z84" s="50"/>
    </x:row>
    <x:row r="85">
      <x:c r="A85" s="50"/>
      <x:c r="B85" s="50"/>
      <x:c r="C85" s="50"/>
      <x:c r="D85" s="50"/>
      <x:c r="E85" s="50"/>
      <x:c r="F85" s="50"/>
      <x:c r="G85" s="50"/>
      <x:c r="H85" s="50"/>
      <x:c r="I85" s="50"/>
      <x:c r="J85" s="50"/>
      <x:c r="K85" s="50"/>
      <x:c r="L85" s="50"/>
      <x:c r="M85" s="50"/>
      <x:c r="N85" s="50"/>
      <x:c r="O85" s="50"/>
      <x:c r="P85" s="50"/>
      <x:c r="Q85" s="50"/>
      <x:c r="R85" s="50"/>
      <x:c r="S85" s="50"/>
      <x:c r="T85" s="50"/>
      <x:c r="U85" s="50"/>
      <x:c r="V85" s="50"/>
      <x:c r="W85" s="50"/>
      <x:c r="X85" s="50"/>
      <x:c r="Y85" s="50"/>
      <x:c r="Z85" s="50"/>
    </x:row>
    <x:row r="86">
      <x:c r="A86" s="50"/>
      <x:c r="B86" s="50"/>
      <x:c r="C86" s="50"/>
      <x:c r="D86" s="50"/>
      <x:c r="E86" s="50"/>
      <x:c r="F86" s="50"/>
      <x:c r="G86" s="50"/>
      <x:c r="H86" s="50"/>
      <x:c r="I86" s="50"/>
      <x:c r="J86" s="50"/>
      <x:c r="K86" s="50"/>
      <x:c r="L86" s="50"/>
      <x:c r="M86" s="50"/>
      <x:c r="N86" s="50"/>
      <x:c r="O86" s="50"/>
      <x:c r="P86" s="50"/>
      <x:c r="Q86" s="50"/>
      <x:c r="R86" s="50"/>
      <x:c r="S86" s="50"/>
      <x:c r="T86" s="50"/>
      <x:c r="U86" s="50"/>
      <x:c r="V86" s="50"/>
      <x:c r="W86" s="50"/>
      <x:c r="X86" s="50"/>
      <x:c r="Y86" s="50"/>
      <x:c r="Z86" s="50"/>
    </x:row>
    <x:row r="87">
      <x:c r="A87" s="50"/>
      <x:c r="B87" s="50"/>
      <x:c r="C87" s="50"/>
      <x:c r="D87" s="50"/>
      <x:c r="E87" s="50"/>
      <x:c r="F87" s="50"/>
      <x:c r="G87" s="50"/>
      <x:c r="H87" s="50"/>
      <x:c r="I87" s="50"/>
      <x:c r="J87" s="50"/>
      <x:c r="K87" s="50"/>
      <x:c r="L87" s="50"/>
      <x:c r="M87" s="50"/>
      <x:c r="N87" s="50"/>
      <x:c r="O87" s="50"/>
      <x:c r="P87" s="50"/>
      <x:c r="Q87" s="50"/>
      <x:c r="R87" s="50"/>
      <x:c r="S87" s="50"/>
      <x:c r="T87" s="50"/>
      <x:c r="U87" s="50"/>
      <x:c r="V87" s="50"/>
      <x:c r="W87" s="50"/>
      <x:c r="X87" s="50"/>
      <x:c r="Y87" s="50"/>
      <x:c r="Z87" s="50"/>
    </x:row>
    <x:row r="88">
      <x:c r="A88" s="50"/>
      <x:c r="B88" s="50"/>
      <x:c r="C88" s="50"/>
      <x:c r="D88" s="50"/>
      <x:c r="E88" s="50"/>
      <x:c r="F88" s="50"/>
      <x:c r="G88" s="50"/>
      <x:c r="H88" s="50"/>
      <x:c r="I88" s="50"/>
      <x:c r="J88" s="50"/>
      <x:c r="K88" s="50"/>
      <x:c r="L88" s="50"/>
      <x:c r="M88" s="50"/>
      <x:c r="N88" s="50"/>
      <x:c r="O88" s="50"/>
      <x:c r="P88" s="50"/>
      <x:c r="Q88" s="50"/>
      <x:c r="R88" s="50"/>
      <x:c r="S88" s="50"/>
      <x:c r="T88" s="50"/>
      <x:c r="U88" s="50"/>
      <x:c r="V88" s="50"/>
      <x:c r="W88" s="50"/>
      <x:c r="X88" s="50"/>
      <x:c r="Y88" s="50"/>
      <x:c r="Z88" s="50"/>
    </x:row>
    <x:row r="89">
      <x:c r="A89" s="50"/>
      <x:c r="B89" s="50"/>
      <x:c r="C89" s="50"/>
      <x:c r="D89" s="50"/>
      <x:c r="E89" s="50"/>
      <x:c r="F89" s="50"/>
      <x:c r="G89" s="50"/>
      <x:c r="H89" s="50"/>
      <x:c r="I89" s="50"/>
      <x:c r="J89" s="50"/>
      <x:c r="K89" s="50"/>
      <x:c r="L89" s="50"/>
      <x:c r="M89" s="50"/>
      <x:c r="N89" s="50"/>
      <x:c r="O89" s="50"/>
      <x:c r="P89" s="50"/>
      <x:c r="Q89" s="50"/>
      <x:c r="R89" s="50"/>
      <x:c r="S89" s="50"/>
      <x:c r="T89" s="50"/>
      <x:c r="U89" s="50"/>
      <x:c r="V89" s="50"/>
      <x:c r="W89" s="50"/>
      <x:c r="X89" s="50"/>
      <x:c r="Y89" s="50"/>
      <x:c r="Z89" s="50"/>
    </x:row>
    <x:row r="90">
      <x:c r="A90" s="50"/>
      <x:c r="B90" s="50"/>
      <x:c r="C90" s="50"/>
      <x:c r="D90" s="50"/>
      <x:c r="E90" s="50"/>
      <x:c r="F90" s="50"/>
      <x:c r="G90" s="50"/>
      <x:c r="H90" s="50"/>
      <x:c r="I90" s="50"/>
      <x:c r="J90" s="50"/>
      <x:c r="K90" s="50"/>
      <x:c r="L90" s="50"/>
      <x:c r="M90" s="50"/>
      <x:c r="N90" s="50"/>
      <x:c r="O90" s="50"/>
      <x:c r="P90" s="50"/>
      <x:c r="Q90" s="50"/>
      <x:c r="R90" s="50"/>
      <x:c r="S90" s="50"/>
      <x:c r="T90" s="50"/>
      <x:c r="U90" s="50"/>
      <x:c r="V90" s="50"/>
      <x:c r="W90" s="50"/>
      <x:c r="X90" s="50"/>
      <x:c r="Y90" s="50"/>
      <x:c r="Z90" s="50"/>
    </x:row>
    <x:row r="91">
      <x:c r="A91" s="50"/>
      <x:c r="B91" s="50"/>
      <x:c r="C91" s="50"/>
      <x:c r="D91" s="50"/>
      <x:c r="E91" s="50"/>
      <x:c r="F91" s="50"/>
      <x:c r="G91" s="50"/>
      <x:c r="H91" s="50"/>
      <x:c r="I91" s="50"/>
      <x:c r="J91" s="50"/>
      <x:c r="K91" s="50"/>
      <x:c r="L91" s="50"/>
      <x:c r="M91" s="50"/>
      <x:c r="N91" s="50"/>
      <x:c r="O91" s="50"/>
      <x:c r="P91" s="50"/>
      <x:c r="Q91" s="50"/>
      <x:c r="R91" s="50"/>
      <x:c r="S91" s="50"/>
      <x:c r="T91" s="50"/>
      <x:c r="U91" s="50"/>
      <x:c r="V91" s="50"/>
      <x:c r="W91" s="50"/>
      <x:c r="X91" s="50"/>
      <x:c r="Y91" s="50"/>
      <x:c r="Z91" s="50"/>
    </x:row>
    <x:row r="92">
      <x:c r="A92" s="50"/>
      <x:c r="B92" s="50"/>
      <x:c r="C92" s="50"/>
      <x:c r="D92" s="50"/>
      <x:c r="E92" s="50"/>
      <x:c r="F92" s="50"/>
      <x:c r="G92" s="50"/>
      <x:c r="H92" s="50"/>
      <x:c r="I92" s="50"/>
      <x:c r="J92" s="50"/>
      <x:c r="K92" s="50"/>
      <x:c r="L92" s="50"/>
      <x:c r="M92" s="50"/>
      <x:c r="N92" s="50"/>
      <x:c r="O92" s="50"/>
      <x:c r="P92" s="50"/>
      <x:c r="Q92" s="50"/>
      <x:c r="R92" s="50"/>
      <x:c r="S92" s="50"/>
      <x:c r="T92" s="50"/>
      <x:c r="U92" s="50"/>
      <x:c r="V92" s="50"/>
      <x:c r="W92" s="50"/>
      <x:c r="X92" s="50"/>
      <x:c r="Y92" s="50"/>
      <x:c r="Z92" s="50"/>
    </x:row>
    <x:row r="93">
      <x:c r="A93" s="50"/>
      <x:c r="B93" s="50"/>
      <x:c r="C93" s="50"/>
      <x:c r="D93" s="50"/>
      <x:c r="E93" s="50"/>
      <x:c r="F93" s="50"/>
      <x:c r="G93" s="50"/>
      <x:c r="H93" s="50"/>
      <x:c r="I93" s="50"/>
      <x:c r="J93" s="50"/>
      <x:c r="K93" s="50"/>
      <x:c r="L93" s="50"/>
      <x:c r="M93" s="50"/>
      <x:c r="N93" s="50"/>
      <x:c r="O93" s="50"/>
      <x:c r="P93" s="50"/>
      <x:c r="Q93" s="50"/>
      <x:c r="R93" s="50"/>
      <x:c r="S93" s="50"/>
      <x:c r="T93" s="50"/>
      <x:c r="U93" s="50"/>
      <x:c r="V93" s="50"/>
      <x:c r="W93" s="50"/>
      <x:c r="X93" s="50"/>
      <x:c r="Y93" s="50"/>
      <x:c r="Z93" s="50"/>
    </x:row>
    <x:row r="94">
      <x:c r="A94" s="50"/>
      <x:c r="B94" s="50"/>
      <x:c r="C94" s="50"/>
      <x:c r="D94" s="50"/>
      <x:c r="E94" s="50"/>
      <x:c r="F94" s="50"/>
      <x:c r="G94" s="50"/>
      <x:c r="H94" s="50"/>
      <x:c r="I94" s="50"/>
      <x:c r="J94" s="50"/>
      <x:c r="K94" s="50"/>
      <x:c r="L94" s="50"/>
      <x:c r="M94" s="50"/>
      <x:c r="N94" s="50"/>
      <x:c r="O94" s="50"/>
      <x:c r="P94" s="50"/>
      <x:c r="Q94" s="50"/>
      <x:c r="R94" s="50"/>
      <x:c r="S94" s="50"/>
      <x:c r="T94" s="50"/>
      <x:c r="U94" s="50"/>
      <x:c r="V94" s="50"/>
      <x:c r="W94" s="50"/>
      <x:c r="X94" s="50"/>
      <x:c r="Y94" s="50"/>
      <x:c r="Z94" s="50"/>
    </x:row>
    <x:row r="95">
      <x:c r="A95" s="50"/>
      <x:c r="B95" s="50"/>
      <x:c r="C95" s="50"/>
      <x:c r="D95" s="50"/>
      <x:c r="E95" s="50"/>
      <x:c r="F95" s="50"/>
      <x:c r="G95" s="50"/>
      <x:c r="H95" s="50"/>
      <x:c r="I95" s="50"/>
      <x:c r="J95" s="50"/>
      <x:c r="K95" s="50"/>
      <x:c r="L95" s="50"/>
      <x:c r="M95" s="50"/>
      <x:c r="N95" s="50"/>
      <x:c r="O95" s="50"/>
      <x:c r="P95" s="50"/>
      <x:c r="Q95" s="50"/>
      <x:c r="R95" s="50"/>
      <x:c r="S95" s="50"/>
      <x:c r="T95" s="50"/>
      <x:c r="U95" s="50"/>
      <x:c r="V95" s="50"/>
      <x:c r="W95" s="50"/>
      <x:c r="X95" s="50"/>
      <x:c r="Y95" s="50"/>
      <x:c r="Z95" s="50"/>
    </x:row>
    <x:row r="96">
      <x:c r="A96" s="50"/>
      <x:c r="B96" s="50"/>
      <x:c r="C96" s="50"/>
      <x:c r="D96" s="50"/>
      <x:c r="E96" s="50"/>
      <x:c r="F96" s="50"/>
      <x:c r="G96" s="50"/>
      <x:c r="H96" s="50"/>
      <x:c r="I96" s="50"/>
      <x:c r="J96" s="50"/>
      <x:c r="K96" s="50"/>
      <x:c r="L96" s="50"/>
      <x:c r="M96" s="50"/>
      <x:c r="N96" s="50"/>
      <x:c r="O96" s="50"/>
      <x:c r="P96" s="50"/>
      <x:c r="Q96" s="50"/>
      <x:c r="R96" s="50"/>
      <x:c r="S96" s="50"/>
      <x:c r="T96" s="50"/>
      <x:c r="U96" s="50"/>
      <x:c r="V96" s="50"/>
      <x:c r="W96" s="50"/>
      <x:c r="X96" s="50"/>
      <x:c r="Y96" s="50"/>
      <x:c r="Z96" s="50"/>
    </x:row>
    <x:row r="97">
      <x:c r="A97" s="50"/>
      <x:c r="B97" s="50"/>
      <x:c r="C97" s="50"/>
      <x:c r="D97" s="50"/>
      <x:c r="E97" s="50"/>
      <x:c r="F97" s="50"/>
      <x:c r="G97" s="50"/>
      <x:c r="H97" s="50"/>
      <x:c r="I97" s="50"/>
      <x:c r="J97" s="50"/>
      <x:c r="K97" s="50"/>
      <x:c r="L97" s="50"/>
      <x:c r="M97" s="50"/>
      <x:c r="N97" s="50"/>
      <x:c r="O97" s="50"/>
      <x:c r="P97" s="50"/>
      <x:c r="Q97" s="50"/>
      <x:c r="R97" s="50"/>
      <x:c r="S97" s="50"/>
      <x:c r="T97" s="50"/>
      <x:c r="U97" s="50"/>
      <x:c r="V97" s="50"/>
      <x:c r="W97" s="50"/>
      <x:c r="X97" s="50"/>
      <x:c r="Y97" s="50"/>
      <x:c r="Z97" s="50"/>
    </x:row>
    <x:row r="98">
      <x:c r="A98" s="50"/>
      <x:c r="B98" s="50"/>
      <x:c r="C98" s="50"/>
      <x:c r="D98" s="50"/>
      <x:c r="E98" s="50"/>
      <x:c r="F98" s="50"/>
      <x:c r="G98" s="50"/>
      <x:c r="H98" s="50"/>
      <x:c r="I98" s="50"/>
      <x:c r="J98" s="50"/>
      <x:c r="K98" s="50"/>
      <x:c r="L98" s="50"/>
      <x:c r="M98" s="50"/>
      <x:c r="N98" s="50"/>
      <x:c r="O98" s="50"/>
      <x:c r="P98" s="50"/>
      <x:c r="Q98" s="50"/>
      <x:c r="R98" s="50"/>
      <x:c r="S98" s="50"/>
      <x:c r="T98" s="50"/>
      <x:c r="U98" s="50"/>
      <x:c r="V98" s="50"/>
      <x:c r="W98" s="50"/>
      <x:c r="X98" s="50"/>
      <x:c r="Y98" s="50"/>
      <x:c r="Z98" s="50"/>
    </x:row>
    <x:row r="99">
      <x:c r="A99" s="50"/>
      <x:c r="B99" s="50"/>
      <x:c r="C99" s="50"/>
      <x:c r="D99" s="50"/>
      <x:c r="E99" s="50"/>
      <x:c r="F99" s="50"/>
      <x:c r="G99" s="50"/>
      <x:c r="H99" s="50"/>
      <x:c r="I99" s="50"/>
      <x:c r="J99" s="50"/>
      <x:c r="K99" s="50"/>
      <x:c r="L99" s="50"/>
      <x:c r="M99" s="50"/>
      <x:c r="N99" s="50"/>
      <x:c r="O99" s="50"/>
      <x:c r="P99" s="50"/>
      <x:c r="Q99" s="50"/>
      <x:c r="R99" s="50"/>
      <x:c r="S99" s="50"/>
      <x:c r="T99" s="50"/>
      <x:c r="U99" s="50"/>
      <x:c r="V99" s="50"/>
      <x:c r="W99" s="50"/>
      <x:c r="X99" s="50"/>
      <x:c r="Y99" s="50"/>
      <x:c r="Z99" s="50"/>
    </x:row>
    <x:row r="100">
      <x:c r="A100" s="50"/>
      <x:c r="B100" s="50"/>
      <x:c r="C100" s="50"/>
      <x:c r="D100" s="50"/>
      <x:c r="E100" s="50"/>
      <x:c r="F100" s="50"/>
      <x:c r="G100" s="50"/>
      <x:c r="H100" s="50"/>
      <x:c r="I100" s="50"/>
      <x:c r="J100" s="50"/>
      <x:c r="K100" s="50"/>
      <x:c r="L100" s="50"/>
      <x:c r="M100" s="50"/>
      <x:c r="N100" s="50"/>
      <x:c r="O100" s="50"/>
      <x:c r="P100" s="50"/>
      <x:c r="Q100" s="50"/>
      <x:c r="R100" s="50"/>
      <x:c r="S100" s="50"/>
      <x:c r="T100" s="50"/>
      <x:c r="U100" s="50"/>
      <x:c r="V100" s="50"/>
      <x:c r="W100" s="50"/>
      <x:c r="X100" s="50"/>
      <x:c r="Y100" s="50"/>
      <x:c r="Z100" s="50"/>
    </x:row>
    <x:row r="101">
      <x:c r="A101" s="50"/>
      <x:c r="B101" s="50"/>
      <x:c r="C101" s="50"/>
      <x:c r="D101" s="50"/>
      <x:c r="E101" s="50"/>
      <x:c r="F101" s="50"/>
      <x:c r="G101" s="50"/>
      <x:c r="H101" s="50"/>
      <x:c r="I101" s="50"/>
      <x:c r="J101" s="50"/>
      <x:c r="K101" s="50"/>
      <x:c r="L101" s="50"/>
      <x:c r="M101" s="50"/>
      <x:c r="N101" s="50"/>
      <x:c r="O101" s="50"/>
      <x:c r="P101" s="50"/>
      <x:c r="Q101" s="50"/>
      <x:c r="R101" s="50"/>
      <x:c r="S101" s="50"/>
      <x:c r="T101" s="50"/>
      <x:c r="U101" s="50"/>
      <x:c r="V101" s="50"/>
      <x:c r="W101" s="50"/>
      <x:c r="X101" s="50"/>
      <x:c r="Y101" s="50"/>
      <x:c r="Z101" s="50"/>
    </x:row>
    <x:row r="102">
      <x:c r="A102" s="50"/>
      <x:c r="B102" s="50"/>
      <x:c r="C102" s="50"/>
      <x:c r="D102" s="50"/>
      <x:c r="E102" s="50"/>
      <x:c r="F102" s="50"/>
      <x:c r="G102" s="50"/>
      <x:c r="H102" s="50"/>
      <x:c r="I102" s="50"/>
      <x:c r="J102" s="50"/>
      <x:c r="K102" s="50"/>
      <x:c r="L102" s="50"/>
      <x:c r="M102" s="50"/>
      <x:c r="N102" s="50"/>
      <x:c r="O102" s="50"/>
      <x:c r="P102" s="50"/>
      <x:c r="Q102" s="50"/>
      <x:c r="R102" s="50"/>
      <x:c r="S102" s="50"/>
      <x:c r="T102" s="50"/>
      <x:c r="U102" s="50"/>
      <x:c r="V102" s="50"/>
      <x:c r="W102" s="50"/>
      <x:c r="X102" s="50"/>
      <x:c r="Y102" s="50"/>
      <x:c r="Z102" s="50"/>
    </x:row>
    <x:row r="103">
      <x:c r="A103" s="50"/>
      <x:c r="B103" s="50"/>
      <x:c r="C103" s="50"/>
      <x:c r="D103" s="50"/>
      <x:c r="E103" s="50"/>
      <x:c r="F103" s="50"/>
      <x:c r="G103" s="50"/>
      <x:c r="H103" s="50"/>
      <x:c r="I103" s="50"/>
      <x:c r="J103" s="50"/>
      <x:c r="K103" s="50"/>
      <x:c r="L103" s="50"/>
      <x:c r="M103" s="50"/>
      <x:c r="N103" s="50"/>
      <x:c r="O103" s="50"/>
      <x:c r="P103" s="50"/>
      <x:c r="Q103" s="50"/>
      <x:c r="R103" s="50"/>
      <x:c r="S103" s="50"/>
      <x:c r="T103" s="50"/>
      <x:c r="U103" s="50"/>
      <x:c r="V103" s="50"/>
      <x:c r="W103" s="50"/>
      <x:c r="X103" s="50"/>
      <x:c r="Y103" s="50"/>
      <x:c r="Z103" s="50"/>
    </x:row>
    <x:row r="104">
      <x:c r="A104" s="50"/>
      <x:c r="B104" s="50"/>
      <x:c r="C104" s="50"/>
      <x:c r="D104" s="50"/>
      <x:c r="E104" s="50"/>
      <x:c r="F104" s="50"/>
      <x:c r="G104" s="50"/>
      <x:c r="H104" s="50"/>
      <x:c r="I104" s="50"/>
      <x:c r="J104" s="50"/>
      <x:c r="K104" s="50"/>
      <x:c r="L104" s="50"/>
      <x:c r="M104" s="50"/>
      <x:c r="N104" s="50"/>
      <x:c r="O104" s="50"/>
      <x:c r="P104" s="50"/>
      <x:c r="Q104" s="50"/>
      <x:c r="R104" s="50"/>
      <x:c r="S104" s="50"/>
      <x:c r="T104" s="50"/>
      <x:c r="U104" s="50"/>
      <x:c r="V104" s="50"/>
      <x:c r="W104" s="50"/>
      <x:c r="X104" s="50"/>
      <x:c r="Y104" s="50"/>
      <x:c r="Z104" s="50"/>
    </x:row>
    <x:row r="105">
      <x:c r="A105" s="50"/>
      <x:c r="B105" s="50"/>
      <x:c r="C105" s="50"/>
      <x:c r="D105" s="50"/>
      <x:c r="E105" s="50"/>
      <x:c r="F105" s="50"/>
      <x:c r="G105" s="50"/>
      <x:c r="H105" s="50"/>
      <x:c r="I105" s="50"/>
      <x:c r="J105" s="50"/>
      <x:c r="K105" s="50"/>
      <x:c r="L105" s="50"/>
      <x:c r="M105" s="50"/>
      <x:c r="N105" s="50"/>
      <x:c r="O105" s="50"/>
      <x:c r="P105" s="50"/>
      <x:c r="Q105" s="50"/>
      <x:c r="R105" s="50"/>
      <x:c r="S105" s="50"/>
      <x:c r="T105" s="50"/>
      <x:c r="U105" s="50"/>
      <x:c r="V105" s="50"/>
      <x:c r="W105" s="50"/>
      <x:c r="X105" s="50"/>
      <x:c r="Y105" s="50"/>
      <x:c r="Z105" s="50"/>
    </x:row>
    <x:row r="106">
      <x:c r="A106" s="50"/>
      <x:c r="B106" s="50"/>
      <x:c r="C106" s="50"/>
      <x:c r="D106" s="50"/>
      <x:c r="E106" s="50"/>
      <x:c r="F106" s="50"/>
      <x:c r="G106" s="50"/>
      <x:c r="H106" s="50"/>
      <x:c r="I106" s="50"/>
      <x:c r="J106" s="50"/>
      <x:c r="K106" s="50"/>
      <x:c r="L106" s="50"/>
      <x:c r="M106" s="50"/>
      <x:c r="N106" s="50"/>
      <x:c r="O106" s="50"/>
      <x:c r="P106" s="50"/>
      <x:c r="Q106" s="50"/>
      <x:c r="R106" s="50"/>
      <x:c r="S106" s="50"/>
      <x:c r="T106" s="50"/>
      <x:c r="U106" s="50"/>
      <x:c r="V106" s="50"/>
      <x:c r="W106" s="50"/>
      <x:c r="X106" s="50"/>
      <x:c r="Y106" s="50"/>
      <x:c r="Z106" s="50"/>
    </x:row>
    <x:row r="107">
      <x:c r="A107" s="50"/>
      <x:c r="B107" s="50"/>
      <x:c r="C107" s="50"/>
      <x:c r="D107" s="50"/>
      <x:c r="E107" s="50"/>
      <x:c r="F107" s="50"/>
      <x:c r="G107" s="50"/>
      <x:c r="H107" s="50"/>
      <x:c r="I107" s="50"/>
      <x:c r="J107" s="50"/>
      <x:c r="K107" s="50"/>
      <x:c r="L107" s="50"/>
      <x:c r="M107" s="50"/>
      <x:c r="N107" s="50"/>
      <x:c r="O107" s="50"/>
      <x:c r="P107" s="50"/>
      <x:c r="Q107" s="50"/>
      <x:c r="R107" s="50"/>
      <x:c r="S107" s="50"/>
      <x:c r="T107" s="50"/>
      <x:c r="U107" s="50"/>
      <x:c r="V107" s="50"/>
      <x:c r="W107" s="50"/>
      <x:c r="X107" s="50"/>
      <x:c r="Y107" s="50"/>
      <x:c r="Z107" s="50"/>
    </x:row>
    <x:row r="108">
      <x:c r="A108" s="50"/>
      <x:c r="B108" s="50"/>
      <x:c r="C108" s="50"/>
      <x:c r="D108" s="50"/>
      <x:c r="E108" s="50"/>
      <x:c r="F108" s="50"/>
      <x:c r="G108" s="50"/>
      <x:c r="H108" s="50"/>
      <x:c r="I108" s="50"/>
      <x:c r="J108" s="50"/>
      <x:c r="K108" s="50"/>
      <x:c r="L108" s="50"/>
      <x:c r="M108" s="50"/>
      <x:c r="N108" s="50"/>
      <x:c r="O108" s="50"/>
      <x:c r="P108" s="50"/>
      <x:c r="Q108" s="50"/>
      <x:c r="R108" s="50"/>
      <x:c r="S108" s="50"/>
      <x:c r="T108" s="50"/>
      <x:c r="U108" s="50"/>
      <x:c r="V108" s="50"/>
      <x:c r="W108" s="50"/>
      <x:c r="X108" s="50"/>
      <x:c r="Y108" s="50"/>
      <x:c r="Z108" s="50"/>
    </x:row>
    <x:row r="109">
      <x:c r="A109" s="50"/>
      <x:c r="B109" s="50"/>
      <x:c r="C109" s="50"/>
      <x:c r="D109" s="50"/>
      <x:c r="E109" s="50"/>
      <x:c r="F109" s="50"/>
      <x:c r="G109" s="50"/>
      <x:c r="H109" s="50"/>
      <x:c r="I109" s="50"/>
      <x:c r="J109" s="50"/>
      <x:c r="K109" s="50"/>
      <x:c r="L109" s="50"/>
      <x:c r="M109" s="50"/>
      <x:c r="N109" s="50"/>
      <x:c r="O109" s="50"/>
      <x:c r="P109" s="50"/>
      <x:c r="Q109" s="50"/>
      <x:c r="R109" s="50"/>
      <x:c r="S109" s="50"/>
      <x:c r="T109" s="50"/>
      <x:c r="U109" s="50"/>
      <x:c r="V109" s="50"/>
      <x:c r="W109" s="50"/>
      <x:c r="X109" s="50"/>
      <x:c r="Y109" s="50"/>
      <x:c r="Z109" s="50"/>
    </x:row>
    <x:row r="110">
      <x:c r="A110" s="50"/>
      <x:c r="B110" s="50"/>
      <x:c r="C110" s="50"/>
      <x:c r="D110" s="50"/>
      <x:c r="E110" s="50"/>
      <x:c r="F110" s="50"/>
      <x:c r="G110" s="50"/>
      <x:c r="H110" s="50"/>
      <x:c r="I110" s="50"/>
      <x:c r="J110" s="50"/>
      <x:c r="K110" s="50"/>
      <x:c r="L110" s="50"/>
      <x:c r="M110" s="50"/>
      <x:c r="N110" s="50"/>
      <x:c r="O110" s="50"/>
      <x:c r="P110" s="50"/>
      <x:c r="Q110" s="50"/>
      <x:c r="R110" s="50"/>
      <x:c r="S110" s="50"/>
      <x:c r="T110" s="50"/>
      <x:c r="U110" s="50"/>
      <x:c r="V110" s="50"/>
      <x:c r="W110" s="50"/>
      <x:c r="X110" s="50"/>
      <x:c r="Y110" s="50"/>
      <x:c r="Z110" s="50"/>
    </x:row>
    <x:row r="111">
      <x:c r="A111" s="50"/>
      <x:c r="B111" s="50"/>
      <x:c r="C111" s="50"/>
      <x:c r="D111" s="50"/>
      <x:c r="E111" s="50"/>
      <x:c r="F111" s="50"/>
      <x:c r="G111" s="50"/>
      <x:c r="H111" s="50"/>
      <x:c r="I111" s="50"/>
      <x:c r="J111" s="50"/>
      <x:c r="K111" s="50"/>
      <x:c r="L111" s="50"/>
      <x:c r="M111" s="50"/>
      <x:c r="N111" s="50"/>
      <x:c r="O111" s="50"/>
      <x:c r="P111" s="50"/>
      <x:c r="Q111" s="50"/>
      <x:c r="R111" s="50"/>
      <x:c r="S111" s="50"/>
      <x:c r="T111" s="50"/>
      <x:c r="U111" s="50"/>
      <x:c r="V111" s="50"/>
      <x:c r="W111" s="50"/>
      <x:c r="X111" s="50"/>
      <x:c r="Y111" s="50"/>
      <x:c r="Z111" s="50"/>
    </x:row>
    <x:row r="112">
      <x:c r="A112" s="50"/>
      <x:c r="B112" s="50"/>
      <x:c r="C112" s="50"/>
      <x:c r="D112" s="50"/>
      <x:c r="E112" s="50"/>
      <x:c r="F112" s="50"/>
      <x:c r="G112" s="50"/>
      <x:c r="H112" s="50"/>
      <x:c r="I112" s="50"/>
      <x:c r="J112" s="50"/>
      <x:c r="K112" s="50"/>
      <x:c r="L112" s="50"/>
      <x:c r="M112" s="50"/>
      <x:c r="N112" s="50"/>
      <x:c r="O112" s="50"/>
      <x:c r="P112" s="50"/>
      <x:c r="Q112" s="50"/>
      <x:c r="R112" s="50"/>
      <x:c r="S112" s="50"/>
      <x:c r="T112" s="50"/>
      <x:c r="U112" s="50"/>
      <x:c r="V112" s="50"/>
      <x:c r="W112" s="50"/>
      <x:c r="X112" s="50"/>
      <x:c r="Y112" s="50"/>
      <x:c r="Z112" s="50"/>
    </x:row>
    <x:row r="113">
      <x:c r="A113" s="50"/>
      <x:c r="B113" s="50"/>
      <x:c r="C113" s="50"/>
      <x:c r="D113" s="50"/>
      <x:c r="E113" s="50"/>
      <x:c r="F113" s="50"/>
      <x:c r="G113" s="50"/>
      <x:c r="H113" s="50"/>
      <x:c r="I113" s="50"/>
      <x:c r="J113" s="50"/>
      <x:c r="K113" s="50"/>
      <x:c r="L113" s="50"/>
      <x:c r="M113" s="50"/>
      <x:c r="N113" s="50"/>
      <x:c r="O113" s="50"/>
      <x:c r="P113" s="50"/>
      <x:c r="Q113" s="50"/>
      <x:c r="R113" s="50"/>
      <x:c r="S113" s="50"/>
      <x:c r="T113" s="50"/>
      <x:c r="U113" s="50"/>
      <x:c r="V113" s="50"/>
      <x:c r="W113" s="50"/>
      <x:c r="X113" s="50"/>
      <x:c r="Y113" s="50"/>
      <x:c r="Z113" s="50"/>
    </x:row>
    <x:row r="114">
      <x:c r="A114" s="50"/>
      <x:c r="B114" s="50"/>
      <x:c r="C114" s="50"/>
      <x:c r="D114" s="50"/>
      <x:c r="E114" s="50"/>
      <x:c r="F114" s="50"/>
      <x:c r="G114" s="50"/>
      <x:c r="H114" s="50"/>
      <x:c r="I114" s="50"/>
      <x:c r="J114" s="50"/>
      <x:c r="K114" s="50"/>
      <x:c r="L114" s="50"/>
      <x:c r="M114" s="50"/>
      <x:c r="N114" s="50"/>
      <x:c r="O114" s="50"/>
      <x:c r="P114" s="50"/>
      <x:c r="Q114" s="50"/>
      <x:c r="R114" s="50"/>
      <x:c r="S114" s="50"/>
      <x:c r="T114" s="50"/>
      <x:c r="U114" s="50"/>
      <x:c r="V114" s="50"/>
      <x:c r="W114" s="50"/>
      <x:c r="X114" s="50"/>
      <x:c r="Y114" s="50"/>
      <x:c r="Z114" s="50"/>
    </x:row>
    <x:row r="115">
      <x:c r="A115" s="50"/>
      <x:c r="B115" s="50"/>
      <x:c r="C115" s="50"/>
      <x:c r="D115" s="50"/>
      <x:c r="E115" s="50"/>
      <x:c r="F115" s="50"/>
      <x:c r="G115" s="50"/>
      <x:c r="H115" s="50"/>
      <x:c r="I115" s="50"/>
      <x:c r="J115" s="50"/>
      <x:c r="K115" s="50"/>
      <x:c r="L115" s="50"/>
      <x:c r="M115" s="50"/>
      <x:c r="N115" s="50"/>
      <x:c r="O115" s="50"/>
      <x:c r="P115" s="50"/>
      <x:c r="Q115" s="50"/>
      <x:c r="R115" s="50"/>
      <x:c r="S115" s="50"/>
      <x:c r="T115" s="50"/>
      <x:c r="U115" s="50"/>
      <x:c r="V115" s="50"/>
      <x:c r="W115" s="50"/>
      <x:c r="X115" s="50"/>
      <x:c r="Y115" s="50"/>
      <x:c r="Z115" s="50"/>
    </x:row>
    <x:row r="116">
      <x:c r="A116" s="50"/>
      <x:c r="B116" s="50"/>
      <x:c r="C116" s="50"/>
      <x:c r="D116" s="50"/>
      <x:c r="E116" s="50"/>
      <x:c r="F116" s="50"/>
      <x:c r="G116" s="50"/>
      <x:c r="H116" s="50"/>
      <x:c r="I116" s="50"/>
      <x:c r="J116" s="50"/>
      <x:c r="K116" s="50"/>
      <x:c r="L116" s="50"/>
      <x:c r="M116" s="50"/>
      <x:c r="N116" s="50"/>
      <x:c r="O116" s="50"/>
      <x:c r="P116" s="50"/>
      <x:c r="Q116" s="50"/>
      <x:c r="R116" s="50"/>
      <x:c r="S116" s="50"/>
      <x:c r="T116" s="50"/>
      <x:c r="U116" s="50"/>
      <x:c r="V116" s="50"/>
      <x:c r="W116" s="50"/>
      <x:c r="X116" s="50"/>
      <x:c r="Y116" s="50"/>
      <x:c r="Z116" s="50"/>
    </x:row>
    <x:row r="117">
      <x:c r="A117" s="50"/>
      <x:c r="B117" s="50"/>
      <x:c r="C117" s="50"/>
      <x:c r="D117" s="50"/>
      <x:c r="E117" s="50"/>
      <x:c r="F117" s="50"/>
      <x:c r="G117" s="50"/>
      <x:c r="H117" s="50"/>
      <x:c r="I117" s="50"/>
      <x:c r="J117" s="50"/>
      <x:c r="K117" s="50"/>
      <x:c r="L117" s="50"/>
      <x:c r="M117" s="50"/>
      <x:c r="N117" s="50"/>
      <x:c r="O117" s="50"/>
      <x:c r="P117" s="50"/>
      <x:c r="Q117" s="50"/>
      <x:c r="R117" s="50"/>
      <x:c r="S117" s="50"/>
      <x:c r="T117" s="50"/>
      <x:c r="U117" s="50"/>
      <x:c r="V117" s="50"/>
      <x:c r="W117" s="50"/>
      <x:c r="X117" s="50"/>
      <x:c r="Y117" s="50"/>
      <x:c r="Z117" s="50"/>
    </x:row>
    <x:row r="118">
      <x:c r="A118" s="50"/>
      <x:c r="B118" s="50"/>
      <x:c r="C118" s="50"/>
      <x:c r="D118" s="50"/>
      <x:c r="E118" s="50"/>
      <x:c r="F118" s="50"/>
      <x:c r="G118" s="50"/>
      <x:c r="H118" s="50"/>
      <x:c r="I118" s="50"/>
      <x:c r="J118" s="50"/>
      <x:c r="K118" s="50"/>
      <x:c r="L118" s="50"/>
      <x:c r="M118" s="50"/>
      <x:c r="N118" s="50"/>
      <x:c r="O118" s="50"/>
      <x:c r="P118" s="50"/>
      <x:c r="Q118" s="50"/>
      <x:c r="R118" s="50"/>
      <x:c r="S118" s="50"/>
      <x:c r="T118" s="50"/>
      <x:c r="U118" s="50"/>
      <x:c r="V118" s="50"/>
      <x:c r="W118" s="50"/>
      <x:c r="X118" s="50"/>
      <x:c r="Y118" s="50"/>
      <x:c r="Z118" s="50"/>
    </x:row>
    <x:row r="119">
      <x:c r="A119" s="50"/>
      <x:c r="B119" s="50"/>
      <x:c r="C119" s="50"/>
      <x:c r="D119" s="50"/>
      <x:c r="E119" s="50"/>
      <x:c r="F119" s="50"/>
      <x:c r="G119" s="50"/>
      <x:c r="H119" s="50"/>
      <x:c r="I119" s="50"/>
      <x:c r="J119" s="50"/>
      <x:c r="K119" s="50"/>
      <x:c r="L119" s="50"/>
      <x:c r="M119" s="50"/>
      <x:c r="N119" s="50"/>
      <x:c r="O119" s="50"/>
      <x:c r="P119" s="50"/>
      <x:c r="Q119" s="50"/>
      <x:c r="R119" s="50"/>
      <x:c r="S119" s="50"/>
      <x:c r="T119" s="50"/>
      <x:c r="U119" s="50"/>
      <x:c r="V119" s="50"/>
      <x:c r="W119" s="50"/>
      <x:c r="X119" s="50"/>
      <x:c r="Y119" s="50"/>
      <x:c r="Z119" s="50"/>
    </x:row>
    <x:row r="120">
      <x:c r="A120" s="50"/>
      <x:c r="B120" s="50"/>
      <x:c r="C120" s="50"/>
      <x:c r="D120" s="50"/>
      <x:c r="E120" s="50"/>
      <x:c r="F120" s="50"/>
      <x:c r="G120" s="50"/>
      <x:c r="H120" s="50"/>
      <x:c r="I120" s="50"/>
      <x:c r="J120" s="50"/>
      <x:c r="K120" s="50"/>
      <x:c r="L120" s="50"/>
      <x:c r="M120" s="50"/>
      <x:c r="N120" s="50"/>
      <x:c r="O120" s="50"/>
      <x:c r="P120" s="50"/>
      <x:c r="Q120" s="50"/>
      <x:c r="R120" s="50"/>
      <x:c r="S120" s="50"/>
      <x:c r="T120" s="50"/>
      <x:c r="U120" s="50"/>
      <x:c r="V120" s="50"/>
      <x:c r="W120" s="50"/>
      <x:c r="X120" s="50"/>
      <x:c r="Y120" s="50"/>
      <x:c r="Z120" s="50"/>
    </x:row>
    <x:row r="121">
      <x:c r="A121" s="50"/>
      <x:c r="B121" s="50"/>
      <x:c r="C121" s="50"/>
      <x:c r="D121" s="50"/>
      <x:c r="E121" s="50"/>
      <x:c r="F121" s="50"/>
      <x:c r="G121" s="50"/>
      <x:c r="H121" s="50"/>
      <x:c r="I121" s="50"/>
      <x:c r="J121" s="50"/>
      <x:c r="K121" s="50"/>
      <x:c r="L121" s="50"/>
      <x:c r="M121" s="50"/>
      <x:c r="N121" s="50"/>
      <x:c r="O121" s="50"/>
      <x:c r="P121" s="50"/>
      <x:c r="Q121" s="50"/>
      <x:c r="R121" s="50"/>
      <x:c r="S121" s="50"/>
      <x:c r="T121" s="50"/>
      <x:c r="U121" s="50"/>
      <x:c r="V121" s="50"/>
      <x:c r="W121" s="50"/>
      <x:c r="X121" s="50"/>
      <x:c r="Y121" s="50"/>
      <x:c r="Z121" s="50"/>
    </x:row>
    <x:row r="122">
      <x:c r="A122" s="50"/>
      <x:c r="B122" s="50"/>
      <x:c r="C122" s="50"/>
      <x:c r="D122" s="50"/>
      <x:c r="E122" s="50"/>
      <x:c r="F122" s="50"/>
      <x:c r="G122" s="50"/>
      <x:c r="H122" s="50"/>
      <x:c r="I122" s="50"/>
      <x:c r="J122" s="50"/>
      <x:c r="K122" s="50"/>
      <x:c r="L122" s="50"/>
      <x:c r="M122" s="50"/>
      <x:c r="N122" s="50"/>
      <x:c r="O122" s="50"/>
      <x:c r="P122" s="50"/>
      <x:c r="Q122" s="50"/>
      <x:c r="R122" s="50"/>
      <x:c r="S122" s="50"/>
      <x:c r="T122" s="50"/>
      <x:c r="U122" s="50"/>
      <x:c r="V122" s="50"/>
      <x:c r="W122" s="50"/>
      <x:c r="X122" s="50"/>
      <x:c r="Y122" s="50"/>
      <x:c r="Z122" s="50"/>
    </x:row>
    <x:row r="123">
      <x:c r="A123" s="50"/>
      <x:c r="B123" s="50"/>
      <x:c r="C123" s="50"/>
      <x:c r="D123" s="50"/>
      <x:c r="E123" s="50"/>
      <x:c r="F123" s="50"/>
      <x:c r="G123" s="50"/>
      <x:c r="H123" s="50"/>
      <x:c r="I123" s="50"/>
      <x:c r="J123" s="50"/>
      <x:c r="K123" s="50"/>
      <x:c r="L123" s="50"/>
      <x:c r="M123" s="50"/>
      <x:c r="N123" s="50"/>
      <x:c r="O123" s="50"/>
      <x:c r="P123" s="50"/>
      <x:c r="Q123" s="50"/>
      <x:c r="R123" s="50"/>
      <x:c r="S123" s="50"/>
      <x:c r="T123" s="50"/>
      <x:c r="U123" s="50"/>
      <x:c r="V123" s="50"/>
      <x:c r="W123" s="50"/>
      <x:c r="X123" s="50"/>
      <x:c r="Y123" s="50"/>
      <x:c r="Z123" s="50"/>
    </x:row>
    <x:row r="124">
      <x:c r="A124" s="50"/>
      <x:c r="B124" s="50"/>
      <x:c r="C124" s="50"/>
      <x:c r="D124" s="50"/>
      <x:c r="E124" s="50"/>
      <x:c r="F124" s="50"/>
      <x:c r="G124" s="50"/>
      <x:c r="H124" s="50"/>
      <x:c r="I124" s="50"/>
      <x:c r="J124" s="50"/>
      <x:c r="K124" s="50"/>
      <x:c r="L124" s="50"/>
      <x:c r="M124" s="50"/>
      <x:c r="N124" s="50"/>
      <x:c r="O124" s="50"/>
      <x:c r="P124" s="50"/>
      <x:c r="Q124" s="50"/>
      <x:c r="R124" s="50"/>
      <x:c r="S124" s="50"/>
      <x:c r="T124" s="50"/>
      <x:c r="U124" s="50"/>
      <x:c r="V124" s="50"/>
      <x:c r="W124" s="50"/>
      <x:c r="X124" s="50"/>
      <x:c r="Y124" s="50"/>
      <x:c r="Z124" s="50"/>
    </x:row>
    <x:row r="125">
      <x:c r="A125" s="50"/>
      <x:c r="B125" s="50"/>
      <x:c r="C125" s="50"/>
      <x:c r="D125" s="50"/>
      <x:c r="E125" s="50"/>
      <x:c r="F125" s="50"/>
      <x:c r="G125" s="50"/>
      <x:c r="H125" s="50"/>
      <x:c r="I125" s="50"/>
      <x:c r="J125" s="50"/>
      <x:c r="K125" s="50"/>
      <x:c r="L125" s="50"/>
      <x:c r="M125" s="50"/>
      <x:c r="N125" s="50"/>
      <x:c r="O125" s="50"/>
      <x:c r="P125" s="50"/>
      <x:c r="Q125" s="50"/>
      <x:c r="R125" s="50"/>
      <x:c r="S125" s="50"/>
      <x:c r="T125" s="50"/>
      <x:c r="U125" s="50"/>
      <x:c r="V125" s="50"/>
      <x:c r="W125" s="50"/>
      <x:c r="X125" s="50"/>
      <x:c r="Y125" s="50"/>
      <x:c r="Z125" s="50"/>
    </x:row>
    <x:row r="126">
      <x:c r="A126" s="50"/>
      <x:c r="B126" s="50"/>
      <x:c r="C126" s="50"/>
      <x:c r="D126" s="50"/>
      <x:c r="E126" s="50"/>
      <x:c r="F126" s="50"/>
      <x:c r="G126" s="50"/>
      <x:c r="H126" s="50"/>
      <x:c r="I126" s="50"/>
      <x:c r="J126" s="50"/>
      <x:c r="K126" s="50"/>
      <x:c r="L126" s="50"/>
      <x:c r="M126" s="50"/>
      <x:c r="N126" s="50"/>
      <x:c r="O126" s="50"/>
      <x:c r="P126" s="50"/>
      <x:c r="Q126" s="50"/>
      <x:c r="R126" s="50"/>
      <x:c r="S126" s="50"/>
      <x:c r="T126" s="50"/>
      <x:c r="U126" s="50"/>
      <x:c r="V126" s="50"/>
      <x:c r="W126" s="50"/>
      <x:c r="X126" s="50"/>
      <x:c r="Y126" s="50"/>
      <x:c r="Z126" s="50"/>
    </x:row>
    <x:row r="127">
      <x:c r="A127" s="50"/>
      <x:c r="B127" s="50"/>
      <x:c r="C127" s="50"/>
      <x:c r="D127" s="50"/>
      <x:c r="E127" s="50"/>
      <x:c r="F127" s="50"/>
      <x:c r="G127" s="50"/>
      <x:c r="H127" s="50"/>
      <x:c r="I127" s="50"/>
      <x:c r="J127" s="50"/>
      <x:c r="K127" s="50"/>
      <x:c r="L127" s="50"/>
      <x:c r="M127" s="50"/>
      <x:c r="N127" s="50"/>
      <x:c r="O127" s="50"/>
      <x:c r="P127" s="50"/>
      <x:c r="Q127" s="50"/>
      <x:c r="R127" s="50"/>
      <x:c r="S127" s="50"/>
      <x:c r="T127" s="50"/>
      <x:c r="U127" s="50"/>
      <x:c r="V127" s="50"/>
      <x:c r="W127" s="50"/>
      <x:c r="X127" s="50"/>
      <x:c r="Y127" s="50"/>
      <x:c r="Z127" s="50"/>
    </x:row>
    <x:row r="128">
      <x:c r="A128" s="50"/>
      <x:c r="B128" s="50"/>
      <x:c r="C128" s="50"/>
      <x:c r="D128" s="50"/>
      <x:c r="E128" s="50"/>
      <x:c r="F128" s="50"/>
      <x:c r="G128" s="50"/>
      <x:c r="H128" s="50"/>
      <x:c r="I128" s="50"/>
      <x:c r="J128" s="50"/>
      <x:c r="K128" s="50"/>
      <x:c r="L128" s="50"/>
      <x:c r="M128" s="50"/>
      <x:c r="N128" s="50"/>
      <x:c r="O128" s="50"/>
      <x:c r="P128" s="50"/>
      <x:c r="Q128" s="50"/>
      <x:c r="R128" s="50"/>
      <x:c r="S128" s="50"/>
      <x:c r="T128" s="50"/>
      <x:c r="U128" s="50"/>
      <x:c r="V128" s="50"/>
      <x:c r="W128" s="50"/>
      <x:c r="X128" s="50"/>
      <x:c r="Y128" s="50"/>
      <x:c r="Z128" s="50"/>
    </x:row>
    <x:row r="129">
      <x:c r="A129" s="50"/>
      <x:c r="B129" s="50"/>
      <x:c r="C129" s="50"/>
      <x:c r="D129" s="50"/>
      <x:c r="E129" s="50"/>
      <x:c r="F129" s="50"/>
      <x:c r="G129" s="50"/>
      <x:c r="H129" s="50"/>
      <x:c r="I129" s="50"/>
      <x:c r="J129" s="50"/>
      <x:c r="K129" s="50"/>
      <x:c r="L129" s="50"/>
      <x:c r="M129" s="50"/>
      <x:c r="N129" s="50"/>
      <x:c r="O129" s="50"/>
      <x:c r="P129" s="50"/>
      <x:c r="Q129" s="50"/>
      <x:c r="R129" s="50"/>
      <x:c r="S129" s="50"/>
      <x:c r="T129" s="50"/>
      <x:c r="U129" s="50"/>
      <x:c r="V129" s="50"/>
      <x:c r="W129" s="50"/>
      <x:c r="X129" s="50"/>
      <x:c r="Y129" s="50"/>
      <x:c r="Z129" s="50"/>
    </x:row>
    <x:row r="130">
      <x:c r="A130" s="50"/>
      <x:c r="B130" s="50"/>
      <x:c r="C130" s="50"/>
      <x:c r="D130" s="50"/>
      <x:c r="E130" s="50"/>
      <x:c r="F130" s="50"/>
      <x:c r="G130" s="50"/>
      <x:c r="H130" s="50"/>
      <x:c r="I130" s="50"/>
      <x:c r="J130" s="50"/>
      <x:c r="K130" s="50"/>
      <x:c r="L130" s="50"/>
      <x:c r="M130" s="50"/>
      <x:c r="N130" s="50"/>
      <x:c r="O130" s="50"/>
      <x:c r="P130" s="50"/>
      <x:c r="Q130" s="50"/>
      <x:c r="R130" s="50"/>
      <x:c r="S130" s="50"/>
      <x:c r="T130" s="50"/>
      <x:c r="U130" s="50"/>
      <x:c r="V130" s="50"/>
      <x:c r="W130" s="50"/>
      <x:c r="X130" s="50"/>
      <x:c r="Y130" s="50"/>
      <x:c r="Z130" s="50"/>
    </x:row>
    <x:row r="131">
      <x:c r="A131" s="50"/>
      <x:c r="B131" s="50"/>
      <x:c r="C131" s="50"/>
      <x:c r="D131" s="50"/>
      <x:c r="E131" s="50"/>
      <x:c r="F131" s="50"/>
      <x:c r="G131" s="50"/>
      <x:c r="H131" s="50"/>
      <x:c r="I131" s="50"/>
      <x:c r="J131" s="50"/>
      <x:c r="K131" s="50"/>
      <x:c r="L131" s="50"/>
      <x:c r="M131" s="50"/>
      <x:c r="N131" s="50"/>
      <x:c r="O131" s="50"/>
      <x:c r="P131" s="50"/>
      <x:c r="Q131" s="50"/>
      <x:c r="R131" s="50"/>
      <x:c r="S131" s="50"/>
      <x:c r="T131" s="50"/>
      <x:c r="U131" s="50"/>
      <x:c r="V131" s="50"/>
      <x:c r="W131" s="50"/>
      <x:c r="X131" s="50"/>
      <x:c r="Y131" s="50"/>
      <x:c r="Z131" s="50"/>
    </x:row>
    <x:row r="132">
      <x:c r="A132" s="50"/>
      <x:c r="B132" s="50"/>
      <x:c r="C132" s="50"/>
      <x:c r="D132" s="50"/>
      <x:c r="E132" s="50"/>
      <x:c r="F132" s="50"/>
      <x:c r="G132" s="50"/>
      <x:c r="H132" s="50"/>
      <x:c r="I132" s="50"/>
      <x:c r="J132" s="50"/>
      <x:c r="K132" s="50"/>
      <x:c r="L132" s="50"/>
      <x:c r="M132" s="50"/>
      <x:c r="N132" s="50"/>
      <x:c r="O132" s="50"/>
      <x:c r="P132" s="50"/>
      <x:c r="Q132" s="50"/>
      <x:c r="R132" s="50"/>
      <x:c r="S132" s="50"/>
      <x:c r="T132" s="50"/>
      <x:c r="U132" s="50"/>
      <x:c r="V132" s="50"/>
      <x:c r="W132" s="50"/>
      <x:c r="X132" s="50"/>
      <x:c r="Y132" s="50"/>
      <x:c r="Z132" s="50"/>
    </x:row>
    <x:row r="133">
      <x:c r="A133" s="50"/>
      <x:c r="B133" s="50"/>
      <x:c r="C133" s="50"/>
      <x:c r="D133" s="50"/>
      <x:c r="E133" s="50"/>
      <x:c r="F133" s="50"/>
      <x:c r="G133" s="50"/>
      <x:c r="H133" s="50"/>
      <x:c r="I133" s="50"/>
      <x:c r="J133" s="50"/>
      <x:c r="K133" s="50"/>
      <x:c r="L133" s="50"/>
      <x:c r="M133" s="50"/>
      <x:c r="N133" s="50"/>
      <x:c r="O133" s="50"/>
      <x:c r="P133" s="50"/>
      <x:c r="Q133" s="50"/>
      <x:c r="R133" s="50"/>
      <x:c r="S133" s="50"/>
      <x:c r="T133" s="50"/>
      <x:c r="U133" s="50"/>
      <x:c r="V133" s="50"/>
      <x:c r="W133" s="50"/>
      <x:c r="X133" s="50"/>
      <x:c r="Y133" s="50"/>
      <x:c r="Z133" s="50"/>
    </x:row>
    <x:row r="134">
      <x:c r="A134" s="50"/>
      <x:c r="B134" s="50"/>
      <x:c r="C134" s="50"/>
      <x:c r="D134" s="50"/>
      <x:c r="E134" s="50"/>
      <x:c r="F134" s="50"/>
      <x:c r="G134" s="50"/>
      <x:c r="H134" s="50"/>
      <x:c r="I134" s="50"/>
      <x:c r="J134" s="50"/>
      <x:c r="K134" s="50"/>
      <x:c r="L134" s="50"/>
      <x:c r="M134" s="50"/>
      <x:c r="N134" s="50"/>
      <x:c r="O134" s="50"/>
      <x:c r="P134" s="50"/>
      <x:c r="Q134" s="50"/>
      <x:c r="R134" s="50"/>
      <x:c r="S134" s="50"/>
      <x:c r="T134" s="50"/>
      <x:c r="U134" s="50"/>
      <x:c r="V134" s="50"/>
      <x:c r="W134" s="50"/>
      <x:c r="X134" s="50"/>
      <x:c r="Y134" s="50"/>
      <x:c r="Z134" s="50"/>
    </x:row>
    <x:row r="135">
      <x:c r="A135" s="50"/>
      <x:c r="B135" s="50"/>
      <x:c r="C135" s="50"/>
      <x:c r="D135" s="50"/>
      <x:c r="E135" s="50"/>
      <x:c r="F135" s="50"/>
      <x:c r="G135" s="50"/>
      <x:c r="H135" s="50"/>
      <x:c r="I135" s="50"/>
      <x:c r="J135" s="50"/>
      <x:c r="K135" s="50"/>
      <x:c r="L135" s="50"/>
      <x:c r="M135" s="50"/>
      <x:c r="N135" s="50"/>
      <x:c r="O135" s="50"/>
      <x:c r="P135" s="50"/>
      <x:c r="Q135" s="50"/>
      <x:c r="R135" s="50"/>
      <x:c r="S135" s="50"/>
      <x:c r="T135" s="50"/>
      <x:c r="U135" s="50"/>
      <x:c r="V135" s="50"/>
      <x:c r="W135" s="50"/>
      <x:c r="X135" s="50"/>
      <x:c r="Y135" s="50"/>
      <x:c r="Z135" s="50"/>
    </x:row>
    <x:row r="136">
      <x:c r="A136" s="50"/>
      <x:c r="B136" s="50"/>
      <x:c r="C136" s="50"/>
      <x:c r="D136" s="50"/>
      <x:c r="E136" s="50"/>
      <x:c r="F136" s="50"/>
      <x:c r="G136" s="50"/>
      <x:c r="H136" s="50"/>
      <x:c r="I136" s="50"/>
      <x:c r="J136" s="50"/>
      <x:c r="K136" s="50"/>
      <x:c r="L136" s="50"/>
      <x:c r="M136" s="50"/>
      <x:c r="N136" s="50"/>
      <x:c r="O136" s="50"/>
      <x:c r="P136" s="50"/>
      <x:c r="Q136" s="50"/>
      <x:c r="R136" s="50"/>
      <x:c r="S136" s="50"/>
      <x:c r="T136" s="50"/>
      <x:c r="U136" s="50"/>
      <x:c r="V136" s="50"/>
      <x:c r="W136" s="50"/>
      <x:c r="X136" s="50"/>
      <x:c r="Y136" s="50"/>
      <x:c r="Z136" s="50"/>
    </x:row>
    <x:row r="137">
      <x:c r="A137" s="50"/>
      <x:c r="B137" s="50"/>
      <x:c r="C137" s="50"/>
      <x:c r="D137" s="50"/>
      <x:c r="E137" s="50"/>
      <x:c r="F137" s="50"/>
      <x:c r="G137" s="50"/>
      <x:c r="H137" s="50"/>
      <x:c r="I137" s="50"/>
      <x:c r="J137" s="50"/>
      <x:c r="K137" s="50"/>
      <x:c r="L137" s="50"/>
      <x:c r="M137" s="50"/>
      <x:c r="N137" s="50"/>
      <x:c r="O137" s="50"/>
      <x:c r="P137" s="50"/>
      <x:c r="Q137" s="50"/>
      <x:c r="R137" s="50"/>
      <x:c r="S137" s="50"/>
      <x:c r="T137" s="50"/>
      <x:c r="U137" s="50"/>
      <x:c r="V137" s="50"/>
      <x:c r="W137" s="50"/>
      <x:c r="X137" s="50"/>
      <x:c r="Y137" s="50"/>
      <x:c r="Z137" s="50"/>
    </x:row>
    <x:row r="138">
      <x:c r="A138" s="50"/>
      <x:c r="B138" s="50"/>
      <x:c r="C138" s="50"/>
      <x:c r="D138" s="50"/>
      <x:c r="E138" s="50"/>
      <x:c r="F138" s="50"/>
      <x:c r="G138" s="50"/>
      <x:c r="H138" s="50"/>
      <x:c r="I138" s="50"/>
      <x:c r="J138" s="50"/>
      <x:c r="K138" s="50"/>
      <x:c r="L138" s="50"/>
      <x:c r="M138" s="50"/>
      <x:c r="N138" s="50"/>
      <x:c r="O138" s="50"/>
      <x:c r="P138" s="50"/>
      <x:c r="Q138" s="50"/>
      <x:c r="R138" s="50"/>
      <x:c r="S138" s="50"/>
      <x:c r="T138" s="50"/>
      <x:c r="U138" s="50"/>
      <x:c r="V138" s="50"/>
      <x:c r="W138" s="50"/>
      <x:c r="X138" s="50"/>
      <x:c r="Y138" s="50"/>
      <x:c r="Z138" s="50"/>
    </x:row>
    <x:row r="139">
      <x:c r="A139" s="50"/>
      <x:c r="B139" s="50"/>
      <x:c r="C139" s="50"/>
      <x:c r="D139" s="50"/>
      <x:c r="E139" s="50"/>
      <x:c r="F139" s="50"/>
      <x:c r="G139" s="50"/>
      <x:c r="H139" s="50"/>
      <x:c r="I139" s="50"/>
      <x:c r="J139" s="50"/>
      <x:c r="K139" s="50"/>
      <x:c r="L139" s="50"/>
      <x:c r="M139" s="50"/>
      <x:c r="N139" s="50"/>
      <x:c r="O139" s="50"/>
      <x:c r="P139" s="50"/>
      <x:c r="Q139" s="50"/>
      <x:c r="R139" s="50"/>
      <x:c r="S139" s="50"/>
      <x:c r="T139" s="50"/>
      <x:c r="U139" s="50"/>
      <x:c r="V139" s="50"/>
      <x:c r="W139" s="50"/>
      <x:c r="X139" s="50"/>
      <x:c r="Y139" s="50"/>
      <x:c r="Z139" s="50"/>
    </x:row>
    <x:row r="140">
      <x:c r="A140" s="50"/>
      <x:c r="B140" s="50"/>
      <x:c r="C140" s="50"/>
      <x:c r="D140" s="50"/>
      <x:c r="E140" s="50"/>
      <x:c r="F140" s="50"/>
      <x:c r="G140" s="50"/>
      <x:c r="H140" s="50"/>
      <x:c r="I140" s="50"/>
      <x:c r="J140" s="50"/>
      <x:c r="K140" s="50"/>
      <x:c r="L140" s="50"/>
      <x:c r="M140" s="50"/>
      <x:c r="N140" s="50"/>
      <x:c r="O140" s="50"/>
      <x:c r="P140" s="50"/>
      <x:c r="Q140" s="50"/>
      <x:c r="R140" s="50"/>
      <x:c r="S140" s="50"/>
      <x:c r="T140" s="50"/>
      <x:c r="U140" s="50"/>
      <x:c r="V140" s="50"/>
      <x:c r="W140" s="50"/>
      <x:c r="X140" s="50"/>
      <x:c r="Y140" s="50"/>
      <x:c r="Z140" s="50"/>
    </x:row>
    <x:row r="141">
      <x:c r="A141" s="50"/>
      <x:c r="B141" s="50"/>
      <x:c r="C141" s="50"/>
      <x:c r="D141" s="50"/>
      <x:c r="E141" s="50"/>
      <x:c r="F141" s="50"/>
      <x:c r="G141" s="50"/>
      <x:c r="H141" s="50"/>
      <x:c r="I141" s="50"/>
      <x:c r="J141" s="50"/>
      <x:c r="K141" s="50"/>
      <x:c r="L141" s="50"/>
      <x:c r="M141" s="50"/>
      <x:c r="N141" s="50"/>
      <x:c r="O141" s="50"/>
      <x:c r="P141" s="50"/>
      <x:c r="Q141" s="50"/>
      <x:c r="R141" s="50"/>
      <x:c r="S141" s="50"/>
      <x:c r="T141" s="50"/>
      <x:c r="U141" s="50"/>
      <x:c r="V141" s="50"/>
      <x:c r="W141" s="50"/>
      <x:c r="X141" s="50"/>
      <x:c r="Y141" s="50"/>
      <x:c r="Z141" s="50"/>
    </x:row>
    <x:row r="142">
      <x:c r="A142" s="50"/>
      <x:c r="B142" s="50"/>
      <x:c r="C142" s="50"/>
      <x:c r="D142" s="50"/>
      <x:c r="E142" s="50"/>
      <x:c r="F142" s="50"/>
      <x:c r="G142" s="50"/>
      <x:c r="H142" s="50"/>
      <x:c r="I142" s="50"/>
      <x:c r="J142" s="50"/>
      <x:c r="K142" s="50"/>
      <x:c r="L142" s="50"/>
      <x:c r="M142" s="50"/>
      <x:c r="N142" s="50"/>
      <x:c r="O142" s="50"/>
      <x:c r="P142" s="50"/>
      <x:c r="Q142" s="50"/>
      <x:c r="R142" s="50"/>
      <x:c r="S142" s="50"/>
      <x:c r="T142" s="50"/>
      <x:c r="U142" s="50"/>
      <x:c r="V142" s="50"/>
      <x:c r="W142" s="50"/>
      <x:c r="X142" s="50"/>
      <x:c r="Y142" s="50"/>
      <x:c r="Z142" s="50"/>
    </x:row>
    <x:row r="143">
      <x:c r="A143" s="50"/>
      <x:c r="B143" s="50"/>
      <x:c r="C143" s="50"/>
      <x:c r="D143" s="50"/>
      <x:c r="E143" s="50"/>
      <x:c r="F143" s="50"/>
      <x:c r="G143" s="50"/>
      <x:c r="H143" s="50"/>
      <x:c r="I143" s="50"/>
      <x:c r="J143" s="50"/>
      <x:c r="K143" s="50"/>
      <x:c r="L143" s="50"/>
      <x:c r="M143" s="50"/>
      <x:c r="N143" s="50"/>
      <x:c r="O143" s="50"/>
      <x:c r="P143" s="50"/>
      <x:c r="Q143" s="50"/>
      <x:c r="R143" s="50"/>
      <x:c r="S143" s="50"/>
      <x:c r="T143" s="50"/>
      <x:c r="U143" s="50"/>
      <x:c r="V143" s="50"/>
      <x:c r="W143" s="50"/>
      <x:c r="X143" s="50"/>
      <x:c r="Y143" s="50"/>
      <x:c r="Z143" s="50"/>
    </x:row>
    <x:row r="144">
      <x:c r="A144" s="50"/>
      <x:c r="B144" s="50"/>
      <x:c r="C144" s="50"/>
      <x:c r="D144" s="50"/>
      <x:c r="E144" s="50"/>
      <x:c r="F144" s="50"/>
      <x:c r="G144" s="50"/>
      <x:c r="H144" s="50"/>
      <x:c r="I144" s="50"/>
      <x:c r="J144" s="50"/>
      <x:c r="K144" s="50"/>
      <x:c r="L144" s="50"/>
      <x:c r="M144" s="50"/>
      <x:c r="N144" s="50"/>
      <x:c r="O144" s="50"/>
      <x:c r="P144" s="50"/>
      <x:c r="Q144" s="50"/>
      <x:c r="R144" s="50"/>
      <x:c r="S144" s="50"/>
      <x:c r="T144" s="50"/>
      <x:c r="U144" s="50"/>
      <x:c r="V144" s="50"/>
      <x:c r="W144" s="50"/>
      <x:c r="X144" s="50"/>
      <x:c r="Y144" s="50"/>
      <x:c r="Z144" s="50"/>
    </x:row>
    <x:row r="145">
      <x:c r="A145" s="50"/>
      <x:c r="B145" s="50"/>
      <x:c r="C145" s="50"/>
      <x:c r="D145" s="50"/>
      <x:c r="E145" s="50"/>
      <x:c r="F145" s="50"/>
      <x:c r="G145" s="50"/>
      <x:c r="H145" s="50"/>
      <x:c r="I145" s="50"/>
      <x:c r="J145" s="50"/>
      <x:c r="K145" s="50"/>
      <x:c r="L145" s="50"/>
      <x:c r="M145" s="50"/>
      <x:c r="N145" s="50"/>
      <x:c r="O145" s="50"/>
      <x:c r="P145" s="50"/>
      <x:c r="Q145" s="50"/>
      <x:c r="R145" s="50"/>
      <x:c r="S145" s="50"/>
      <x:c r="T145" s="50"/>
      <x:c r="U145" s="50"/>
      <x:c r="V145" s="50"/>
      <x:c r="W145" s="50"/>
      <x:c r="X145" s="50"/>
      <x:c r="Y145" s="50"/>
      <x:c r="Z145" s="50"/>
    </x:row>
    <x:row r="146">
      <x:c r="A146" s="50"/>
      <x:c r="B146" s="50"/>
      <x:c r="C146" s="50"/>
      <x:c r="D146" s="50"/>
      <x:c r="E146" s="50"/>
      <x:c r="F146" s="50"/>
      <x:c r="G146" s="50"/>
      <x:c r="H146" s="50"/>
      <x:c r="I146" s="50"/>
      <x:c r="J146" s="50"/>
      <x:c r="K146" s="50"/>
      <x:c r="L146" s="50"/>
      <x:c r="M146" s="50"/>
      <x:c r="N146" s="50"/>
      <x:c r="O146" s="50"/>
      <x:c r="P146" s="50"/>
      <x:c r="Q146" s="50"/>
      <x:c r="R146" s="50"/>
      <x:c r="S146" s="50"/>
      <x:c r="T146" s="50"/>
      <x:c r="U146" s="50"/>
      <x:c r="V146" s="50"/>
      <x:c r="W146" s="50"/>
      <x:c r="X146" s="50"/>
      <x:c r="Y146" s="50"/>
      <x:c r="Z146" s="50"/>
    </x:row>
    <x:row r="147">
      <x:c r="A147" s="50"/>
      <x:c r="B147" s="50"/>
      <x:c r="C147" s="50"/>
      <x:c r="D147" s="50"/>
      <x:c r="E147" s="50"/>
      <x:c r="F147" s="50"/>
      <x:c r="G147" s="50"/>
      <x:c r="H147" s="50"/>
      <x:c r="I147" s="50"/>
      <x:c r="J147" s="50"/>
      <x:c r="K147" s="50"/>
      <x:c r="L147" s="50"/>
      <x:c r="M147" s="50"/>
      <x:c r="N147" s="50"/>
      <x:c r="O147" s="50"/>
      <x:c r="P147" s="50"/>
      <x:c r="Q147" s="50"/>
      <x:c r="R147" s="50"/>
      <x:c r="S147" s="50"/>
      <x:c r="T147" s="50"/>
      <x:c r="U147" s="50"/>
      <x:c r="V147" s="50"/>
      <x:c r="W147" s="50"/>
      <x:c r="X147" s="50"/>
      <x:c r="Y147" s="50"/>
      <x:c r="Z147" s="50"/>
    </x:row>
    <x:row r="148">
      <x:c r="A148" s="50"/>
      <x:c r="B148" s="50"/>
      <x:c r="C148" s="50"/>
      <x:c r="D148" s="50"/>
      <x:c r="E148" s="50"/>
      <x:c r="F148" s="50"/>
      <x:c r="G148" s="50"/>
      <x:c r="H148" s="50"/>
      <x:c r="I148" s="50"/>
      <x:c r="J148" s="50"/>
      <x:c r="K148" s="50"/>
      <x:c r="L148" s="50"/>
      <x:c r="M148" s="50"/>
      <x:c r="N148" s="50"/>
      <x:c r="O148" s="50"/>
      <x:c r="P148" s="50"/>
      <x:c r="Q148" s="50"/>
      <x:c r="R148" s="50"/>
      <x:c r="S148" s="50"/>
      <x:c r="T148" s="50"/>
      <x:c r="U148" s="50"/>
      <x:c r="V148" s="50"/>
      <x:c r="W148" s="50"/>
      <x:c r="X148" s="50"/>
      <x:c r="Y148" s="50"/>
      <x:c r="Z148" s="50"/>
    </x:row>
    <x:row r="149">
      <x:c r="A149" s="50"/>
      <x:c r="B149" s="50"/>
      <x:c r="C149" s="50"/>
      <x:c r="D149" s="50"/>
      <x:c r="E149" s="50"/>
      <x:c r="F149" s="50"/>
      <x:c r="G149" s="50"/>
      <x:c r="H149" s="50"/>
      <x:c r="I149" s="50"/>
      <x:c r="J149" s="50"/>
      <x:c r="K149" s="50"/>
      <x:c r="L149" s="50"/>
      <x:c r="M149" s="50"/>
      <x:c r="N149" s="50"/>
      <x:c r="O149" s="50"/>
      <x:c r="P149" s="50"/>
      <x:c r="Q149" s="50"/>
      <x:c r="R149" s="50"/>
      <x:c r="S149" s="50"/>
      <x:c r="T149" s="50"/>
      <x:c r="U149" s="50"/>
      <x:c r="V149" s="50"/>
      <x:c r="W149" s="50"/>
      <x:c r="X149" s="50"/>
      <x:c r="Y149" s="50"/>
      <x:c r="Z149" s="50"/>
    </x:row>
    <x:row r="150">
      <x:c r="A150" s="50"/>
      <x:c r="B150" s="50"/>
      <x:c r="C150" s="50"/>
      <x:c r="D150" s="50"/>
      <x:c r="E150" s="50"/>
      <x:c r="F150" s="50"/>
      <x:c r="G150" s="50"/>
      <x:c r="H150" s="50"/>
      <x:c r="I150" s="50"/>
      <x:c r="J150" s="50"/>
      <x:c r="K150" s="50"/>
      <x:c r="L150" s="50"/>
      <x:c r="M150" s="50"/>
      <x:c r="N150" s="50"/>
      <x:c r="O150" s="50"/>
      <x:c r="P150" s="50"/>
      <x:c r="Q150" s="50"/>
      <x:c r="R150" s="50"/>
      <x:c r="S150" s="50"/>
      <x:c r="T150" s="50"/>
      <x:c r="U150" s="50"/>
      <x:c r="V150" s="50"/>
      <x:c r="W150" s="50"/>
      <x:c r="X150" s="50"/>
      <x:c r="Y150" s="50"/>
      <x:c r="Z150" s="50"/>
    </x:row>
    <x:row r="151">
      <x:c r="A151" s="50"/>
      <x:c r="B151" s="50"/>
      <x:c r="C151" s="50"/>
      <x:c r="D151" s="50"/>
      <x:c r="E151" s="50"/>
      <x:c r="F151" s="50"/>
      <x:c r="G151" s="50"/>
      <x:c r="H151" s="50"/>
      <x:c r="I151" s="50"/>
      <x:c r="J151" s="50"/>
      <x:c r="K151" s="50"/>
      <x:c r="L151" s="50"/>
      <x:c r="M151" s="50"/>
      <x:c r="N151" s="50"/>
      <x:c r="O151" s="50"/>
      <x:c r="P151" s="50"/>
      <x:c r="Q151" s="50"/>
      <x:c r="R151" s="50"/>
      <x:c r="S151" s="50"/>
      <x:c r="T151" s="50"/>
      <x:c r="U151" s="50"/>
      <x:c r="V151" s="50"/>
      <x:c r="W151" s="50"/>
      <x:c r="X151" s="50"/>
      <x:c r="Y151" s="50"/>
      <x:c r="Z151" s="50"/>
    </x:row>
    <x:row r="152">
      <x:c r="A152" s="50"/>
      <x:c r="B152" s="50"/>
      <x:c r="C152" s="50"/>
      <x:c r="D152" s="50"/>
      <x:c r="E152" s="50"/>
      <x:c r="F152" s="50"/>
      <x:c r="G152" s="50"/>
      <x:c r="H152" s="50"/>
      <x:c r="I152" s="50"/>
      <x:c r="J152" s="50"/>
      <x:c r="K152" s="50"/>
      <x:c r="L152" s="50"/>
      <x:c r="M152" s="50"/>
      <x:c r="N152" s="50"/>
      <x:c r="O152" s="50"/>
      <x:c r="P152" s="50"/>
      <x:c r="Q152" s="50"/>
      <x:c r="R152" s="50"/>
      <x:c r="S152" s="50"/>
      <x:c r="T152" s="50"/>
      <x:c r="U152" s="50"/>
      <x:c r="V152" s="50"/>
      <x:c r="W152" s="50"/>
      <x:c r="X152" s="50"/>
      <x:c r="Y152" s="50"/>
      <x:c r="Z152" s="50"/>
    </x:row>
    <x:row r="153">
      <x:c r="A153" s="50"/>
      <x:c r="B153" s="50"/>
      <x:c r="C153" s="50"/>
      <x:c r="D153" s="50"/>
      <x:c r="E153" s="50"/>
      <x:c r="F153" s="50"/>
      <x:c r="G153" s="50"/>
      <x:c r="H153" s="50"/>
      <x:c r="I153" s="50"/>
      <x:c r="J153" s="50"/>
      <x:c r="K153" s="50"/>
      <x:c r="L153" s="50"/>
      <x:c r="M153" s="50"/>
      <x:c r="N153" s="50"/>
      <x:c r="O153" s="50"/>
      <x:c r="P153" s="50"/>
      <x:c r="Q153" s="50"/>
      <x:c r="R153" s="50"/>
      <x:c r="S153" s="50"/>
      <x:c r="T153" s="50"/>
      <x:c r="U153" s="50"/>
      <x:c r="V153" s="50"/>
      <x:c r="W153" s="50"/>
      <x:c r="X153" s="50"/>
      <x:c r="Y153" s="50"/>
      <x:c r="Z153" s="50"/>
    </x:row>
    <x:row r="154">
      <x:c r="A154" s="50"/>
      <x:c r="B154" s="50"/>
      <x:c r="C154" s="50"/>
      <x:c r="D154" s="50"/>
      <x:c r="E154" s="50"/>
      <x:c r="F154" s="50"/>
      <x:c r="G154" s="50"/>
      <x:c r="H154" s="50"/>
      <x:c r="I154" s="50"/>
      <x:c r="J154" s="50"/>
      <x:c r="K154" s="50"/>
      <x:c r="L154" s="50"/>
      <x:c r="M154" s="50"/>
      <x:c r="N154" s="50"/>
      <x:c r="O154" s="50"/>
      <x:c r="P154" s="50"/>
      <x:c r="Q154" s="50"/>
      <x:c r="R154" s="50"/>
      <x:c r="S154" s="50"/>
      <x:c r="T154" s="50"/>
      <x:c r="U154" s="50"/>
      <x:c r="V154" s="50"/>
      <x:c r="W154" s="50"/>
      <x:c r="X154" s="50"/>
      <x:c r="Y154" s="50"/>
      <x:c r="Z154" s="50"/>
    </x:row>
    <x:row r="155">
      <x:c r="A155" s="50"/>
      <x:c r="B155" s="50"/>
      <x:c r="C155" s="50"/>
      <x:c r="D155" s="50"/>
      <x:c r="E155" s="50"/>
      <x:c r="F155" s="50"/>
      <x:c r="G155" s="50"/>
      <x:c r="H155" s="50"/>
      <x:c r="I155" s="50"/>
      <x:c r="J155" s="50"/>
      <x:c r="K155" s="50"/>
      <x:c r="L155" s="50"/>
      <x:c r="M155" s="50"/>
      <x:c r="N155" s="50"/>
      <x:c r="O155" s="50"/>
      <x:c r="P155" s="50"/>
      <x:c r="Q155" s="50"/>
      <x:c r="R155" s="50"/>
      <x:c r="S155" s="50"/>
      <x:c r="T155" s="50"/>
      <x:c r="U155" s="50"/>
      <x:c r="V155" s="50"/>
      <x:c r="W155" s="50"/>
      <x:c r="X155" s="50"/>
      <x:c r="Y155" s="50"/>
      <x:c r="Z155" s="50"/>
    </x:row>
    <x:row r="156">
      <x:c r="A156" s="50"/>
      <x:c r="B156" s="50"/>
      <x:c r="C156" s="50"/>
      <x:c r="D156" s="50"/>
      <x:c r="E156" s="50"/>
      <x:c r="F156" s="50"/>
      <x:c r="G156" s="50"/>
      <x:c r="H156" s="50"/>
      <x:c r="I156" s="50"/>
      <x:c r="J156" s="50"/>
      <x:c r="K156" s="50"/>
      <x:c r="L156" s="50"/>
      <x:c r="M156" s="50"/>
      <x:c r="N156" s="50"/>
      <x:c r="O156" s="50"/>
      <x:c r="P156" s="50"/>
      <x:c r="Q156" s="50"/>
      <x:c r="R156" s="50"/>
      <x:c r="S156" s="50"/>
      <x:c r="T156" s="50"/>
      <x:c r="U156" s="50"/>
      <x:c r="V156" s="50"/>
      <x:c r="W156" s="50"/>
      <x:c r="X156" s="50"/>
      <x:c r="Y156" s="50"/>
      <x:c r="Z156" s="50"/>
    </x:row>
    <x:row r="157">
      <x:c r="A157" s="50"/>
      <x:c r="B157" s="50"/>
      <x:c r="C157" s="50"/>
      <x:c r="D157" s="50"/>
      <x:c r="E157" s="50"/>
      <x:c r="F157" s="50"/>
      <x:c r="G157" s="50"/>
      <x:c r="H157" s="50"/>
      <x:c r="I157" s="50"/>
      <x:c r="J157" s="50"/>
      <x:c r="K157" s="50"/>
      <x:c r="L157" s="50"/>
      <x:c r="M157" s="50"/>
      <x:c r="N157" s="50"/>
      <x:c r="O157" s="50"/>
      <x:c r="P157" s="50"/>
      <x:c r="Q157" s="50"/>
      <x:c r="R157" s="50"/>
      <x:c r="S157" s="50"/>
      <x:c r="T157" s="50"/>
      <x:c r="U157" s="50"/>
      <x:c r="V157" s="50"/>
      <x:c r="W157" s="50"/>
      <x:c r="X157" s="50"/>
      <x:c r="Y157" s="50"/>
      <x:c r="Z157" s="50"/>
    </x:row>
    <x:row r="158">
      <x:c r="A158" s="50"/>
      <x:c r="B158" s="50"/>
      <x:c r="C158" s="50"/>
      <x:c r="D158" s="50"/>
      <x:c r="E158" s="50"/>
      <x:c r="F158" s="50"/>
      <x:c r="G158" s="50"/>
      <x:c r="H158" s="50"/>
      <x:c r="I158" s="50"/>
      <x:c r="J158" s="50"/>
      <x:c r="K158" s="50"/>
      <x:c r="L158" s="50"/>
      <x:c r="M158" s="50"/>
      <x:c r="N158" s="50"/>
      <x:c r="O158" s="50"/>
      <x:c r="P158" s="50"/>
      <x:c r="Q158" s="50"/>
      <x:c r="R158" s="50"/>
      <x:c r="S158" s="50"/>
      <x:c r="T158" s="50"/>
      <x:c r="U158" s="50"/>
      <x:c r="V158" s="50"/>
      <x:c r="W158" s="50"/>
      <x:c r="X158" s="50"/>
      <x:c r="Y158" s="50"/>
      <x:c r="Z158" s="50"/>
    </x:row>
    <x:row r="159">
      <x:c r="A159" s="50"/>
      <x:c r="B159" s="50"/>
      <x:c r="C159" s="50"/>
      <x:c r="D159" s="50"/>
      <x:c r="E159" s="50"/>
      <x:c r="F159" s="50"/>
      <x:c r="G159" s="50"/>
      <x:c r="H159" s="50"/>
      <x:c r="I159" s="50"/>
      <x:c r="J159" s="50"/>
      <x:c r="K159" s="50"/>
      <x:c r="L159" s="50"/>
      <x:c r="M159" s="50"/>
      <x:c r="N159" s="50"/>
      <x:c r="O159" s="50"/>
      <x:c r="P159" s="50"/>
      <x:c r="Q159" s="50"/>
      <x:c r="R159" s="50"/>
      <x:c r="S159" s="50"/>
      <x:c r="T159" s="50"/>
      <x:c r="U159" s="50"/>
      <x:c r="V159" s="50"/>
      <x:c r="W159" s="50"/>
      <x:c r="X159" s="50"/>
      <x:c r="Y159" s="50"/>
      <x:c r="Z159" s="50"/>
    </x:row>
    <x:row r="160">
      <x:c r="A160" s="50"/>
      <x:c r="B160" s="50"/>
      <x:c r="C160" s="50"/>
      <x:c r="D160" s="50"/>
      <x:c r="E160" s="50"/>
      <x:c r="F160" s="50"/>
      <x:c r="G160" s="50"/>
      <x:c r="H160" s="50"/>
      <x:c r="I160" s="50"/>
      <x:c r="J160" s="50"/>
      <x:c r="K160" s="50"/>
      <x:c r="L160" s="50"/>
      <x:c r="M160" s="50"/>
      <x:c r="N160" s="50"/>
      <x:c r="O160" s="50"/>
      <x:c r="P160" s="50"/>
      <x:c r="Q160" s="50"/>
      <x:c r="R160" s="50"/>
      <x:c r="S160" s="50"/>
      <x:c r="T160" s="50"/>
      <x:c r="U160" s="50"/>
      <x:c r="V160" s="50"/>
      <x:c r="W160" s="50"/>
      <x:c r="X160" s="50"/>
      <x:c r="Y160" s="50"/>
      <x:c r="Z160" s="50"/>
    </x:row>
    <x:row r="161">
      <x:c r="A161" s="50"/>
      <x:c r="B161" s="50"/>
      <x:c r="C161" s="50"/>
      <x:c r="D161" s="50"/>
      <x:c r="E161" s="50"/>
      <x:c r="F161" s="50"/>
      <x:c r="G161" s="50"/>
      <x:c r="H161" s="50"/>
      <x:c r="I161" s="50"/>
      <x:c r="J161" s="50"/>
      <x:c r="K161" s="50"/>
      <x:c r="L161" s="50"/>
      <x:c r="M161" s="50"/>
      <x:c r="N161" s="50"/>
      <x:c r="O161" s="50"/>
      <x:c r="P161" s="50"/>
      <x:c r="Q161" s="50"/>
      <x:c r="R161" s="50"/>
      <x:c r="S161" s="50"/>
      <x:c r="T161" s="50"/>
      <x:c r="U161" s="50"/>
      <x:c r="V161" s="50"/>
      <x:c r="W161" s="50"/>
      <x:c r="X161" s="50"/>
      <x:c r="Y161" s="50"/>
      <x:c r="Z161" s="50"/>
    </x:row>
    <x:row r="162">
      <x:c r="A162" s="50"/>
      <x:c r="B162" s="50"/>
      <x:c r="C162" s="50"/>
      <x:c r="D162" s="50"/>
      <x:c r="E162" s="50"/>
      <x:c r="F162" s="50"/>
      <x:c r="G162" s="50"/>
      <x:c r="H162" s="50"/>
      <x:c r="I162" s="50"/>
      <x:c r="J162" s="50"/>
      <x:c r="K162" s="50"/>
      <x:c r="L162" s="50"/>
      <x:c r="M162" s="50"/>
      <x:c r="N162" s="50"/>
      <x:c r="O162" s="50"/>
      <x:c r="P162" s="50"/>
      <x:c r="Q162" s="50"/>
      <x:c r="R162" s="50"/>
      <x:c r="S162" s="50"/>
      <x:c r="T162" s="50"/>
      <x:c r="U162" s="50"/>
      <x:c r="V162" s="50"/>
      <x:c r="W162" s="50"/>
      <x:c r="X162" s="50"/>
      <x:c r="Y162" s="50"/>
      <x:c r="Z162" s="50"/>
    </x:row>
    <x:row r="163">
      <x:c r="A163" s="50"/>
      <x:c r="B163" s="50"/>
      <x:c r="C163" s="50"/>
      <x:c r="D163" s="50"/>
      <x:c r="E163" s="50"/>
      <x:c r="F163" s="50"/>
      <x:c r="G163" s="50"/>
      <x:c r="H163" s="50"/>
      <x:c r="I163" s="50"/>
      <x:c r="J163" s="50"/>
      <x:c r="K163" s="50"/>
      <x:c r="L163" s="50"/>
      <x:c r="M163" s="50"/>
      <x:c r="N163" s="50"/>
      <x:c r="O163" s="50"/>
      <x:c r="P163" s="50"/>
      <x:c r="Q163" s="50"/>
      <x:c r="R163" s="50"/>
      <x:c r="S163" s="50"/>
      <x:c r="T163" s="50"/>
      <x:c r="U163" s="50"/>
      <x:c r="V163" s="50"/>
      <x:c r="W163" s="50"/>
      <x:c r="X163" s="50"/>
      <x:c r="Y163" s="50"/>
      <x:c r="Z163" s="50"/>
    </x:row>
    <x:row r="164">
      <x:c r="A164" s="50"/>
      <x:c r="B164" s="50"/>
      <x:c r="C164" s="50"/>
      <x:c r="D164" s="50"/>
      <x:c r="E164" s="50"/>
      <x:c r="F164" s="50"/>
      <x:c r="G164" s="50"/>
      <x:c r="H164" s="50"/>
      <x:c r="I164" s="50"/>
      <x:c r="J164" s="50"/>
      <x:c r="K164" s="50"/>
      <x:c r="L164" s="50"/>
      <x:c r="M164" s="50"/>
      <x:c r="N164" s="50"/>
      <x:c r="O164" s="50"/>
      <x:c r="P164" s="50"/>
      <x:c r="Q164" s="50"/>
      <x:c r="R164" s="50"/>
      <x:c r="S164" s="50"/>
      <x:c r="T164" s="50"/>
      <x:c r="U164" s="50"/>
      <x:c r="V164" s="50"/>
      <x:c r="W164" s="50"/>
      <x:c r="X164" s="50"/>
      <x:c r="Y164" s="50"/>
      <x:c r="Z164" s="50"/>
    </x:row>
    <x:row r="165">
      <x:c r="A165" s="50"/>
      <x:c r="B165" s="50"/>
      <x:c r="C165" s="50"/>
      <x:c r="D165" s="50"/>
      <x:c r="E165" s="50"/>
      <x:c r="F165" s="50"/>
      <x:c r="G165" s="50"/>
      <x:c r="H165" s="50"/>
      <x:c r="I165" s="50"/>
      <x:c r="J165" s="50"/>
      <x:c r="K165" s="50"/>
      <x:c r="L165" s="50"/>
      <x:c r="M165" s="50"/>
      <x:c r="N165" s="50"/>
      <x:c r="O165" s="50"/>
      <x:c r="P165" s="50"/>
      <x:c r="Q165" s="50"/>
      <x:c r="R165" s="50"/>
      <x:c r="S165" s="50"/>
      <x:c r="T165" s="50"/>
      <x:c r="U165" s="50"/>
      <x:c r="V165" s="50"/>
      <x:c r="W165" s="50"/>
      <x:c r="X165" s="50"/>
      <x:c r="Y165" s="50"/>
      <x:c r="Z165" s="50"/>
    </x:row>
    <x:row r="166">
      <x:c r="A166" s="50"/>
      <x:c r="B166" s="50"/>
      <x:c r="C166" s="50"/>
      <x:c r="D166" s="50"/>
      <x:c r="E166" s="50"/>
      <x:c r="F166" s="50"/>
      <x:c r="G166" s="50"/>
      <x:c r="H166" s="50"/>
      <x:c r="I166" s="50"/>
      <x:c r="J166" s="50"/>
      <x:c r="K166" s="50"/>
      <x:c r="L166" s="50"/>
      <x:c r="M166" s="50"/>
      <x:c r="N166" s="50"/>
      <x:c r="O166" s="50"/>
      <x:c r="P166" s="50"/>
      <x:c r="Q166" s="50"/>
      <x:c r="R166" s="50"/>
      <x:c r="S166" s="50"/>
      <x:c r="T166" s="50"/>
      <x:c r="U166" s="50"/>
      <x:c r="V166" s="50"/>
      <x:c r="W166" s="50"/>
      <x:c r="X166" s="50"/>
      <x:c r="Y166" s="50"/>
      <x:c r="Z166" s="50"/>
    </x:row>
    <x:row r="167">
      <x:c r="A167" s="50"/>
      <x:c r="B167" s="50"/>
      <x:c r="C167" s="50"/>
      <x:c r="D167" s="50"/>
      <x:c r="E167" s="50"/>
      <x:c r="F167" s="50"/>
      <x:c r="G167" s="50"/>
      <x:c r="H167" s="50"/>
      <x:c r="I167" s="50"/>
      <x:c r="J167" s="50"/>
      <x:c r="K167" s="50"/>
      <x:c r="L167" s="50"/>
      <x:c r="M167" s="50"/>
      <x:c r="N167" s="50"/>
      <x:c r="O167" s="50"/>
      <x:c r="P167" s="50"/>
      <x:c r="Q167" s="50"/>
      <x:c r="R167" s="50"/>
      <x:c r="S167" s="50"/>
      <x:c r="T167" s="50"/>
      <x:c r="U167" s="50"/>
      <x:c r="V167" s="50"/>
      <x:c r="W167" s="50"/>
      <x:c r="X167" s="50"/>
      <x:c r="Y167" s="50"/>
      <x:c r="Z167" s="50"/>
    </x:row>
    <x:row r="168">
      <x:c r="A168" s="50"/>
      <x:c r="B168" s="50"/>
      <x:c r="C168" s="50"/>
      <x:c r="D168" s="50"/>
      <x:c r="E168" s="50"/>
      <x:c r="F168" s="50"/>
      <x:c r="G168" s="50"/>
      <x:c r="H168" s="50"/>
      <x:c r="I168" s="50"/>
      <x:c r="J168" s="50"/>
      <x:c r="K168" s="50"/>
      <x:c r="L168" s="50"/>
      <x:c r="M168" s="50"/>
      <x:c r="N168" s="50"/>
      <x:c r="O168" s="50"/>
      <x:c r="P168" s="50"/>
      <x:c r="Q168" s="50"/>
      <x:c r="R168" s="50"/>
      <x:c r="S168" s="50"/>
      <x:c r="T168" s="50"/>
      <x:c r="U168" s="50"/>
      <x:c r="V168" s="50"/>
      <x:c r="W168" s="50"/>
      <x:c r="X168" s="50"/>
      <x:c r="Y168" s="50"/>
      <x:c r="Z168" s="50"/>
    </x:row>
    <x:row r="169">
      <x:c r="A169" s="50"/>
      <x:c r="B169" s="50"/>
      <x:c r="C169" s="50"/>
      <x:c r="D169" s="50"/>
      <x:c r="E169" s="50"/>
      <x:c r="F169" s="50"/>
      <x:c r="G169" s="50"/>
      <x:c r="H169" s="50"/>
      <x:c r="I169" s="50"/>
      <x:c r="J169" s="50"/>
      <x:c r="K169" s="50"/>
      <x:c r="L169" s="50"/>
      <x:c r="M169" s="50"/>
      <x:c r="N169" s="50"/>
      <x:c r="O169" s="50"/>
      <x:c r="P169" s="50"/>
      <x:c r="Q169" s="50"/>
      <x:c r="R169" s="50"/>
      <x:c r="S169" s="50"/>
      <x:c r="T169" s="50"/>
      <x:c r="U169" s="50"/>
      <x:c r="V169" s="50"/>
      <x:c r="W169" s="50"/>
      <x:c r="X169" s="50"/>
      <x:c r="Y169" s="50"/>
      <x:c r="Z169" s="50"/>
    </x:row>
    <x:row r="170">
      <x:c r="A170" s="50"/>
      <x:c r="B170" s="50"/>
      <x:c r="C170" s="50"/>
      <x:c r="D170" s="50"/>
      <x:c r="E170" s="50"/>
      <x:c r="F170" s="50"/>
      <x:c r="G170" s="50"/>
      <x:c r="H170" s="50"/>
      <x:c r="I170" s="50"/>
      <x:c r="J170" s="50"/>
      <x:c r="K170" s="50"/>
      <x:c r="L170" s="50"/>
      <x:c r="M170" s="50"/>
      <x:c r="N170" s="50"/>
      <x:c r="O170" s="50"/>
      <x:c r="P170" s="50"/>
      <x:c r="Q170" s="50"/>
      <x:c r="R170" s="50"/>
      <x:c r="S170" s="50"/>
      <x:c r="T170" s="50"/>
      <x:c r="U170" s="50"/>
      <x:c r="V170" s="50"/>
      <x:c r="W170" s="50"/>
      <x:c r="X170" s="50"/>
      <x:c r="Y170" s="50"/>
      <x:c r="Z170" s="50"/>
    </x:row>
    <x:row r="171">
      <x:c r="A171" s="50"/>
      <x:c r="B171" s="50"/>
      <x:c r="C171" s="50"/>
      <x:c r="D171" s="50"/>
      <x:c r="E171" s="50"/>
      <x:c r="F171" s="50"/>
      <x:c r="G171" s="50"/>
      <x:c r="H171" s="50"/>
      <x:c r="I171" s="50"/>
      <x:c r="J171" s="50"/>
      <x:c r="K171" s="50"/>
      <x:c r="L171" s="50"/>
      <x:c r="M171" s="50"/>
      <x:c r="N171" s="50"/>
      <x:c r="O171" s="50"/>
      <x:c r="P171" s="50"/>
      <x:c r="Q171" s="50"/>
      <x:c r="R171" s="50"/>
      <x:c r="S171" s="50"/>
      <x:c r="T171" s="50"/>
      <x:c r="U171" s="50"/>
      <x:c r="V171" s="50"/>
      <x:c r="W171" s="50"/>
      <x:c r="X171" s="50"/>
      <x:c r="Y171" s="50"/>
      <x:c r="Z171" s="50"/>
    </x:row>
    <x:row r="172">
      <x:c r="A172" s="50"/>
      <x:c r="B172" s="50"/>
      <x:c r="C172" s="50"/>
      <x:c r="D172" s="50"/>
      <x:c r="E172" s="50"/>
      <x:c r="F172" s="50"/>
      <x:c r="G172" s="50"/>
      <x:c r="H172" s="50"/>
      <x:c r="I172" s="50"/>
      <x:c r="J172" s="50"/>
      <x:c r="K172" s="50"/>
      <x:c r="L172" s="50"/>
      <x:c r="M172" s="50"/>
      <x:c r="N172" s="50"/>
      <x:c r="O172" s="50"/>
      <x:c r="P172" s="50"/>
      <x:c r="Q172" s="50"/>
      <x:c r="R172" s="50"/>
      <x:c r="S172" s="50"/>
      <x:c r="T172" s="50"/>
      <x:c r="U172" s="50"/>
      <x:c r="V172" s="50"/>
      <x:c r="W172" s="50"/>
      <x:c r="X172" s="50"/>
      <x:c r="Y172" s="50"/>
      <x:c r="Z172" s="50"/>
    </x:row>
    <x:row r="173">
      <x:c r="A173" s="50"/>
      <x:c r="B173" s="50"/>
      <x:c r="C173" s="50"/>
      <x:c r="D173" s="50"/>
      <x:c r="E173" s="50"/>
      <x:c r="F173" s="50"/>
      <x:c r="G173" s="50"/>
      <x:c r="H173" s="50"/>
      <x:c r="I173" s="50"/>
      <x:c r="J173" s="50"/>
      <x:c r="K173" s="50"/>
      <x:c r="L173" s="50"/>
      <x:c r="M173" s="50"/>
      <x:c r="N173" s="50"/>
      <x:c r="O173" s="50"/>
      <x:c r="P173" s="50"/>
      <x:c r="Q173" s="50"/>
      <x:c r="R173" s="50"/>
      <x:c r="S173" s="50"/>
      <x:c r="T173" s="50"/>
      <x:c r="U173" s="50"/>
      <x:c r="V173" s="50"/>
      <x:c r="W173" s="50"/>
      <x:c r="X173" s="50"/>
      <x:c r="Y173" s="50"/>
      <x:c r="Z173" s="50"/>
    </x:row>
    <x:row r="174">
      <x:c r="A174" s="50"/>
      <x:c r="B174" s="50"/>
      <x:c r="C174" s="50"/>
      <x:c r="D174" s="50"/>
      <x:c r="E174" s="50"/>
      <x:c r="F174" s="50"/>
      <x:c r="G174" s="50"/>
      <x:c r="H174" s="50"/>
      <x:c r="I174" s="50"/>
      <x:c r="J174" s="50"/>
      <x:c r="K174" s="50"/>
      <x:c r="L174" s="50"/>
      <x:c r="M174" s="50"/>
      <x:c r="N174" s="50"/>
      <x:c r="O174" s="50"/>
      <x:c r="P174" s="50"/>
      <x:c r="Q174" s="50"/>
      <x:c r="R174" s="50"/>
      <x:c r="S174" s="50"/>
      <x:c r="T174" s="50"/>
      <x:c r="U174" s="50"/>
      <x:c r="V174" s="50"/>
      <x:c r="W174" s="50"/>
      <x:c r="X174" s="50"/>
      <x:c r="Y174" s="50"/>
      <x:c r="Z174" s="50"/>
    </x:row>
    <x:row r="175">
      <x:c r="A175" s="50"/>
      <x:c r="B175" s="50"/>
      <x:c r="C175" s="50"/>
      <x:c r="D175" s="50"/>
      <x:c r="E175" s="50"/>
      <x:c r="F175" s="50"/>
      <x:c r="G175" s="50"/>
      <x:c r="H175" s="50"/>
      <x:c r="I175" s="50"/>
      <x:c r="J175" s="50"/>
      <x:c r="K175" s="50"/>
      <x:c r="L175" s="50"/>
      <x:c r="M175" s="50"/>
      <x:c r="N175" s="50"/>
      <x:c r="O175" s="50"/>
      <x:c r="P175" s="50"/>
      <x:c r="Q175" s="50"/>
      <x:c r="R175" s="50"/>
      <x:c r="S175" s="50"/>
      <x:c r="T175" s="50"/>
      <x:c r="U175" s="50"/>
      <x:c r="V175" s="50"/>
      <x:c r="W175" s="50"/>
      <x:c r="X175" s="50"/>
      <x:c r="Y175" s="50"/>
      <x:c r="Z175" s="50"/>
    </x:row>
    <x:row r="176">
      <x:c r="A176" s="50"/>
      <x:c r="B176" s="50"/>
      <x:c r="C176" s="50"/>
      <x:c r="D176" s="50"/>
      <x:c r="E176" s="50"/>
      <x:c r="F176" s="50"/>
      <x:c r="G176" s="50"/>
      <x:c r="H176" s="50"/>
      <x:c r="I176" s="50"/>
      <x:c r="J176" s="50"/>
      <x:c r="K176" s="50"/>
      <x:c r="L176" s="50"/>
      <x:c r="M176" s="50"/>
      <x:c r="N176" s="50"/>
      <x:c r="O176" s="50"/>
      <x:c r="P176" s="50"/>
      <x:c r="Q176" s="50"/>
      <x:c r="R176" s="50"/>
      <x:c r="S176" s="50"/>
      <x:c r="T176" s="50"/>
      <x:c r="U176" s="50"/>
      <x:c r="V176" s="50"/>
      <x:c r="W176" s="50"/>
      <x:c r="X176" s="50"/>
      <x:c r="Y176" s="50"/>
      <x:c r="Z176" s="50"/>
    </x:row>
    <x:row r="177">
      <x:c r="A177" s="50"/>
      <x:c r="B177" s="50"/>
      <x:c r="C177" s="50"/>
      <x:c r="D177" s="50"/>
      <x:c r="E177" s="50"/>
      <x:c r="F177" s="50"/>
      <x:c r="G177" s="50"/>
      <x:c r="H177" s="50"/>
      <x:c r="I177" s="50"/>
      <x:c r="J177" s="50"/>
      <x:c r="K177" s="50"/>
      <x:c r="L177" s="50"/>
      <x:c r="M177" s="50"/>
      <x:c r="N177" s="50"/>
      <x:c r="O177" s="50"/>
      <x:c r="P177" s="50"/>
      <x:c r="Q177" s="50"/>
      <x:c r="R177" s="50"/>
      <x:c r="S177" s="50"/>
      <x:c r="T177" s="50"/>
      <x:c r="U177" s="50"/>
      <x:c r="V177" s="50"/>
      <x:c r="W177" s="50"/>
      <x:c r="X177" s="50"/>
      <x:c r="Y177" s="50"/>
      <x:c r="Z177" s="50"/>
    </x:row>
    <x:row r="178">
      <x:c r="A178" s="50"/>
      <x:c r="B178" s="50"/>
      <x:c r="C178" s="50"/>
      <x:c r="D178" s="50"/>
      <x:c r="E178" s="50"/>
      <x:c r="F178" s="50"/>
      <x:c r="G178" s="50"/>
      <x:c r="H178" s="50"/>
      <x:c r="I178" s="50"/>
      <x:c r="J178" s="50"/>
      <x:c r="K178" s="50"/>
      <x:c r="L178" s="50"/>
      <x:c r="M178" s="50"/>
      <x:c r="N178" s="50"/>
      <x:c r="O178" s="50"/>
      <x:c r="P178" s="50"/>
      <x:c r="Q178" s="50"/>
      <x:c r="R178" s="50"/>
      <x:c r="S178" s="50"/>
      <x:c r="T178" s="50"/>
      <x:c r="U178" s="50"/>
      <x:c r="V178" s="50"/>
      <x:c r="W178" s="50"/>
      <x:c r="X178" s="50"/>
      <x:c r="Y178" s="50"/>
      <x:c r="Z178" s="50"/>
    </x:row>
    <x:row r="179">
      <x:c r="A179" s="50"/>
      <x:c r="B179" s="50"/>
      <x:c r="C179" s="50"/>
      <x:c r="D179" s="50"/>
      <x:c r="E179" s="50"/>
      <x:c r="F179" s="50"/>
      <x:c r="G179" s="50"/>
      <x:c r="H179" s="50"/>
      <x:c r="I179" s="50"/>
      <x:c r="J179" s="50"/>
      <x:c r="K179" s="50"/>
      <x:c r="L179" s="50"/>
      <x:c r="M179" s="50"/>
      <x:c r="N179" s="50"/>
      <x:c r="O179" s="50"/>
      <x:c r="P179" s="50"/>
      <x:c r="Q179" s="50"/>
      <x:c r="R179" s="50"/>
      <x:c r="S179" s="50"/>
      <x:c r="T179" s="50"/>
      <x:c r="U179" s="50"/>
      <x:c r="V179" s="50"/>
      <x:c r="W179" s="50"/>
      <x:c r="X179" s="50"/>
      <x:c r="Y179" s="50"/>
      <x:c r="Z179" s="50"/>
    </x:row>
    <x:row r="180">
      <x:c r="A180" s="50"/>
      <x:c r="B180" s="50"/>
      <x:c r="C180" s="50"/>
      <x:c r="D180" s="50"/>
      <x:c r="E180" s="50"/>
      <x:c r="F180" s="50"/>
      <x:c r="G180" s="50"/>
      <x:c r="H180" s="50"/>
      <x:c r="I180" s="50"/>
      <x:c r="J180" s="50"/>
      <x:c r="K180" s="50"/>
      <x:c r="L180" s="50"/>
      <x:c r="M180" s="50"/>
      <x:c r="N180" s="50"/>
      <x:c r="O180" s="50"/>
      <x:c r="P180" s="50"/>
      <x:c r="Q180" s="50"/>
      <x:c r="R180" s="50"/>
      <x:c r="S180" s="50"/>
      <x:c r="T180" s="50"/>
      <x:c r="U180" s="50"/>
      <x:c r="V180" s="50"/>
      <x:c r="W180" s="50"/>
      <x:c r="X180" s="50"/>
      <x:c r="Y180" s="50"/>
      <x:c r="Z180" s="50"/>
    </x:row>
    <x:row r="181">
      <x:c r="A181" s="50"/>
      <x:c r="B181" s="50"/>
      <x:c r="C181" s="50"/>
      <x:c r="D181" s="50"/>
      <x:c r="E181" s="50"/>
      <x:c r="F181" s="50"/>
      <x:c r="G181" s="50"/>
      <x:c r="H181" s="50"/>
      <x:c r="I181" s="50"/>
      <x:c r="J181" s="50"/>
      <x:c r="K181" s="50"/>
      <x:c r="L181" s="50"/>
      <x:c r="M181" s="50"/>
      <x:c r="N181" s="50"/>
      <x:c r="O181" s="50"/>
      <x:c r="P181" s="50"/>
      <x:c r="Q181" s="50"/>
      <x:c r="R181" s="50"/>
      <x:c r="S181" s="50"/>
      <x:c r="T181" s="50"/>
      <x:c r="U181" s="50"/>
      <x:c r="V181" s="50"/>
      <x:c r="W181" s="50"/>
      <x:c r="X181" s="50"/>
      <x:c r="Y181" s="50"/>
      <x:c r="Z181" s="50"/>
    </x:row>
    <x:row r="182">
      <x:c r="A182" s="50"/>
      <x:c r="B182" s="50"/>
      <x:c r="C182" s="50"/>
      <x:c r="D182" s="50"/>
      <x:c r="E182" s="50"/>
      <x:c r="F182" s="50"/>
      <x:c r="G182" s="50"/>
      <x:c r="H182" s="50"/>
      <x:c r="I182" s="50"/>
      <x:c r="J182" s="50"/>
      <x:c r="K182" s="50"/>
      <x:c r="L182" s="50"/>
      <x:c r="M182" s="50"/>
      <x:c r="N182" s="50"/>
      <x:c r="O182" s="50"/>
      <x:c r="P182" s="50"/>
      <x:c r="Q182" s="50"/>
      <x:c r="R182" s="50"/>
      <x:c r="S182" s="50"/>
      <x:c r="T182" s="50"/>
      <x:c r="U182" s="50"/>
      <x:c r="V182" s="50"/>
      <x:c r="W182" s="50"/>
      <x:c r="X182" s="50"/>
      <x:c r="Y182" s="50"/>
      <x:c r="Z182" s="50"/>
    </x:row>
    <x:row r="183">
      <x:c r="A183" s="50"/>
      <x:c r="B183" s="50"/>
      <x:c r="C183" s="50"/>
      <x:c r="D183" s="50"/>
      <x:c r="E183" s="50"/>
      <x:c r="F183" s="50"/>
      <x:c r="G183" s="50"/>
      <x:c r="H183" s="50"/>
      <x:c r="I183" s="50"/>
      <x:c r="J183" s="50"/>
      <x:c r="K183" s="50"/>
      <x:c r="L183" s="50"/>
      <x:c r="M183" s="50"/>
      <x:c r="N183" s="50"/>
      <x:c r="O183" s="50"/>
      <x:c r="P183" s="50"/>
      <x:c r="Q183" s="50"/>
      <x:c r="R183" s="50"/>
      <x:c r="S183" s="50"/>
      <x:c r="T183" s="50"/>
      <x:c r="U183" s="50"/>
      <x:c r="V183" s="50"/>
      <x:c r="W183" s="50"/>
      <x:c r="X183" s="50"/>
      <x:c r="Y183" s="50"/>
      <x:c r="Z183" s="50"/>
    </x:row>
    <x:row r="184">
      <x:c r="A184" s="50"/>
      <x:c r="B184" s="50"/>
      <x:c r="C184" s="50"/>
      <x:c r="D184" s="50"/>
      <x:c r="E184" s="50"/>
      <x:c r="F184" s="50"/>
      <x:c r="G184" s="50"/>
      <x:c r="H184" s="50"/>
      <x:c r="I184" s="50"/>
      <x:c r="J184" s="50"/>
      <x:c r="K184" s="50"/>
      <x:c r="L184" s="50"/>
      <x:c r="M184" s="50"/>
      <x:c r="N184" s="50"/>
      <x:c r="O184" s="50"/>
      <x:c r="P184" s="50"/>
      <x:c r="Q184" s="50"/>
      <x:c r="R184" s="50"/>
      <x:c r="S184" s="50"/>
      <x:c r="T184" s="50"/>
      <x:c r="U184" s="50"/>
      <x:c r="V184" s="50"/>
      <x:c r="W184" s="50"/>
      <x:c r="X184" s="50"/>
      <x:c r="Y184" s="50"/>
      <x:c r="Z184" s="50"/>
    </x:row>
    <x:row r="185">
      <x:c r="A185" s="50"/>
      <x:c r="B185" s="50"/>
      <x:c r="C185" s="50"/>
      <x:c r="D185" s="50"/>
      <x:c r="E185" s="50"/>
      <x:c r="F185" s="50"/>
      <x:c r="G185" s="50"/>
      <x:c r="H185" s="50"/>
      <x:c r="I185" s="50"/>
      <x:c r="J185" s="50"/>
      <x:c r="K185" s="50"/>
      <x:c r="L185" s="50"/>
      <x:c r="M185" s="50"/>
      <x:c r="N185" s="50"/>
      <x:c r="O185" s="50"/>
      <x:c r="P185" s="50"/>
      <x:c r="Q185" s="50"/>
      <x:c r="R185" s="50"/>
      <x:c r="S185" s="50"/>
      <x:c r="T185" s="50"/>
      <x:c r="U185" s="50"/>
      <x:c r="V185" s="50"/>
      <x:c r="W185" s="50"/>
      <x:c r="X185" s="50"/>
      <x:c r="Y185" s="50"/>
      <x:c r="Z185" s="50"/>
    </x:row>
    <x:row r="186">
      <x:c r="A186" s="50"/>
      <x:c r="B186" s="50"/>
      <x:c r="C186" s="50"/>
      <x:c r="D186" s="50"/>
      <x:c r="E186" s="50"/>
      <x:c r="F186" s="50"/>
      <x:c r="G186" s="50"/>
      <x:c r="H186" s="50"/>
      <x:c r="I186" s="50"/>
      <x:c r="J186" s="50"/>
      <x:c r="K186" s="50"/>
      <x:c r="L186" s="50"/>
      <x:c r="M186" s="50"/>
      <x:c r="N186" s="50"/>
      <x:c r="O186" s="50"/>
      <x:c r="P186" s="50"/>
      <x:c r="Q186" s="50"/>
      <x:c r="R186" s="50"/>
      <x:c r="S186" s="50"/>
      <x:c r="T186" s="50"/>
      <x:c r="U186" s="50"/>
      <x:c r="V186" s="50"/>
      <x:c r="W186" s="50"/>
      <x:c r="X186" s="50"/>
      <x:c r="Y186" s="50"/>
      <x:c r="Z186" s="50"/>
    </x:row>
    <x:row r="187">
      <x:c r="A187" s="50"/>
      <x:c r="B187" s="50"/>
      <x:c r="C187" s="50"/>
      <x:c r="D187" s="50"/>
      <x:c r="E187" s="50"/>
      <x:c r="F187" s="50"/>
      <x:c r="G187" s="50"/>
      <x:c r="H187" s="50"/>
      <x:c r="I187" s="50"/>
      <x:c r="J187" s="50"/>
      <x:c r="K187" s="50"/>
      <x:c r="L187" s="50"/>
      <x:c r="M187" s="50"/>
      <x:c r="N187" s="50"/>
      <x:c r="O187" s="50"/>
      <x:c r="P187" s="50"/>
      <x:c r="Q187" s="50"/>
      <x:c r="R187" s="50"/>
      <x:c r="S187" s="50"/>
      <x:c r="T187" s="50"/>
      <x:c r="U187" s="50"/>
      <x:c r="V187" s="50"/>
      <x:c r="W187" s="50"/>
      <x:c r="X187" s="50"/>
      <x:c r="Y187" s="50"/>
      <x:c r="Z187" s="50"/>
    </x:row>
    <x:row r="188">
      <x:c r="A188" s="50"/>
      <x:c r="B188" s="50"/>
      <x:c r="C188" s="50"/>
      <x:c r="D188" s="50"/>
      <x:c r="E188" s="50"/>
      <x:c r="F188" s="50"/>
      <x:c r="G188" s="50"/>
      <x:c r="H188" s="50"/>
      <x:c r="I188" s="50"/>
      <x:c r="J188" s="50"/>
      <x:c r="K188" s="50"/>
      <x:c r="L188" s="50"/>
      <x:c r="M188" s="50"/>
      <x:c r="N188" s="50"/>
      <x:c r="O188" s="50"/>
      <x:c r="P188" s="50"/>
      <x:c r="Q188" s="50"/>
      <x:c r="R188" s="50"/>
      <x:c r="S188" s="50"/>
      <x:c r="T188" s="50"/>
      <x:c r="U188" s="50"/>
      <x:c r="V188" s="50"/>
      <x:c r="W188" s="50"/>
      <x:c r="X188" s="50"/>
      <x:c r="Y188" s="50"/>
      <x:c r="Z188" s="50"/>
    </x:row>
    <x:row r="189">
      <x:c r="A189" s="50"/>
      <x:c r="B189" s="50"/>
      <x:c r="C189" s="50"/>
      <x:c r="D189" s="50"/>
      <x:c r="E189" s="50"/>
      <x:c r="F189" s="50"/>
      <x:c r="G189" s="50"/>
      <x:c r="H189" s="50"/>
      <x:c r="I189" s="50"/>
      <x:c r="J189" s="50"/>
      <x:c r="K189" s="50"/>
      <x:c r="L189" s="50"/>
      <x:c r="M189" s="50"/>
      <x:c r="N189" s="50"/>
      <x:c r="O189" s="50"/>
      <x:c r="P189" s="50"/>
      <x:c r="Q189" s="50"/>
      <x:c r="R189" s="50"/>
      <x:c r="S189" s="50"/>
      <x:c r="T189" s="50"/>
      <x:c r="U189" s="50"/>
      <x:c r="V189" s="50"/>
      <x:c r="W189" s="50"/>
      <x:c r="X189" s="50"/>
      <x:c r="Y189" s="50"/>
      <x:c r="Z189" s="50"/>
    </x:row>
    <x:row r="190">
      <x:c r="A190" s="50"/>
      <x:c r="B190" s="50"/>
      <x:c r="C190" s="50"/>
      <x:c r="D190" s="50"/>
      <x:c r="E190" s="50"/>
      <x:c r="F190" s="50"/>
      <x:c r="G190" s="50"/>
      <x:c r="H190" s="50"/>
      <x:c r="I190" s="50"/>
      <x:c r="J190" s="50"/>
      <x:c r="K190" s="50"/>
      <x:c r="L190" s="50"/>
      <x:c r="M190" s="50"/>
      <x:c r="N190" s="50"/>
      <x:c r="O190" s="50"/>
      <x:c r="P190" s="50"/>
      <x:c r="Q190" s="50"/>
      <x:c r="R190" s="50"/>
      <x:c r="S190" s="50"/>
      <x:c r="T190" s="50"/>
      <x:c r="U190" s="50"/>
      <x:c r="V190" s="50"/>
      <x:c r="W190" s="50"/>
      <x:c r="X190" s="50"/>
      <x:c r="Y190" s="50"/>
      <x:c r="Z190" s="50"/>
    </x:row>
    <x:row r="191">
      <x:c r="A191" s="50"/>
      <x:c r="B191" s="50"/>
      <x:c r="C191" s="50"/>
      <x:c r="D191" s="50"/>
      <x:c r="E191" s="50"/>
      <x:c r="F191" s="50"/>
      <x:c r="G191" s="50"/>
      <x:c r="H191" s="50"/>
      <x:c r="I191" s="50"/>
      <x:c r="J191" s="50"/>
      <x:c r="K191" s="50"/>
      <x:c r="L191" s="50"/>
      <x:c r="M191" s="50"/>
      <x:c r="N191" s="50"/>
      <x:c r="O191" s="50"/>
      <x:c r="P191" s="50"/>
      <x:c r="Q191" s="50"/>
      <x:c r="R191" s="50"/>
      <x:c r="S191" s="50"/>
      <x:c r="T191" s="50"/>
      <x:c r="U191" s="50"/>
      <x:c r="V191" s="50"/>
      <x:c r="W191" s="50"/>
      <x:c r="X191" s="50"/>
      <x:c r="Y191" s="50"/>
      <x:c r="Z191" s="50"/>
    </x:row>
    <x:row r="192">
      <x:c r="A192" s="50"/>
      <x:c r="B192" s="50"/>
      <x:c r="C192" s="50"/>
      <x:c r="D192" s="50"/>
      <x:c r="E192" s="50"/>
      <x:c r="F192" s="50"/>
      <x:c r="G192" s="50"/>
      <x:c r="H192" s="50"/>
      <x:c r="I192" s="50"/>
      <x:c r="J192" s="50"/>
      <x:c r="K192" s="50"/>
      <x:c r="L192" s="50"/>
      <x:c r="M192" s="50"/>
      <x:c r="N192" s="50"/>
      <x:c r="O192" s="50"/>
      <x:c r="P192" s="50"/>
      <x:c r="Q192" s="50"/>
      <x:c r="R192" s="50"/>
      <x:c r="S192" s="50"/>
      <x:c r="T192" s="50"/>
      <x:c r="U192" s="50"/>
      <x:c r="V192" s="50"/>
      <x:c r="W192" s="50"/>
      <x:c r="X192" s="50"/>
      <x:c r="Y192" s="50"/>
      <x:c r="Z192" s="50"/>
    </x:row>
    <x:row r="193">
      <x:c r="A193" s="50"/>
      <x:c r="B193" s="50"/>
      <x:c r="C193" s="50"/>
      <x:c r="D193" s="50"/>
      <x:c r="E193" s="50"/>
      <x:c r="F193" s="50"/>
      <x:c r="G193" s="50"/>
      <x:c r="H193" s="50"/>
      <x:c r="I193" s="50"/>
      <x:c r="J193" s="50"/>
      <x:c r="K193" s="50"/>
      <x:c r="L193" s="50"/>
      <x:c r="M193" s="50"/>
      <x:c r="N193" s="50"/>
      <x:c r="O193" s="50"/>
      <x:c r="P193" s="50"/>
      <x:c r="Q193" s="50"/>
      <x:c r="R193" s="50"/>
      <x:c r="S193" s="50"/>
      <x:c r="T193" s="50"/>
      <x:c r="U193" s="50"/>
      <x:c r="V193" s="50"/>
      <x:c r="W193" s="50"/>
      <x:c r="X193" s="50"/>
      <x:c r="Y193" s="50"/>
      <x:c r="Z193" s="50"/>
    </x:row>
    <x:row r="194">
      <x:c r="A194" s="50"/>
      <x:c r="B194" s="50"/>
      <x:c r="C194" s="50"/>
      <x:c r="D194" s="50"/>
      <x:c r="E194" s="50"/>
      <x:c r="F194" s="50"/>
      <x:c r="G194" s="50"/>
      <x:c r="H194" s="50"/>
      <x:c r="I194" s="50"/>
      <x:c r="J194" s="50"/>
      <x:c r="K194" s="50"/>
      <x:c r="L194" s="50"/>
      <x:c r="M194" s="50"/>
      <x:c r="N194" s="50"/>
      <x:c r="O194" s="50"/>
      <x:c r="P194" s="50"/>
      <x:c r="Q194" s="50"/>
      <x:c r="R194" s="50"/>
      <x:c r="S194" s="50"/>
      <x:c r="T194" s="50"/>
      <x:c r="U194" s="50"/>
      <x:c r="V194" s="50"/>
      <x:c r="W194" s="50"/>
      <x:c r="X194" s="50"/>
      <x:c r="Y194" s="50"/>
      <x:c r="Z194" s="50"/>
    </x:row>
    <x:row r="195">
      <x:c r="A195" s="50"/>
      <x:c r="B195" s="50"/>
      <x:c r="C195" s="50"/>
      <x:c r="D195" s="50"/>
      <x:c r="E195" s="50"/>
      <x:c r="F195" s="50"/>
      <x:c r="G195" s="50"/>
      <x:c r="H195" s="50"/>
      <x:c r="I195" s="50"/>
      <x:c r="J195" s="50"/>
      <x:c r="K195" s="50"/>
      <x:c r="L195" s="50"/>
      <x:c r="M195" s="50"/>
      <x:c r="N195" s="50"/>
      <x:c r="O195" s="50"/>
      <x:c r="P195" s="50"/>
      <x:c r="Q195" s="50"/>
      <x:c r="R195" s="50"/>
      <x:c r="S195" s="50"/>
      <x:c r="T195" s="50"/>
      <x:c r="U195" s="50"/>
      <x:c r="V195" s="50"/>
      <x:c r="W195" s="50"/>
      <x:c r="X195" s="50"/>
      <x:c r="Y195" s="50"/>
      <x:c r="Z195" s="50"/>
    </x:row>
    <x:row r="196">
      <x:c r="A196" s="50"/>
      <x:c r="B196" s="50"/>
      <x:c r="C196" s="50"/>
      <x:c r="D196" s="50"/>
      <x:c r="E196" s="50"/>
      <x:c r="F196" s="50"/>
      <x:c r="G196" s="50"/>
      <x:c r="H196" s="50"/>
      <x:c r="I196" s="50"/>
      <x:c r="J196" s="50"/>
      <x:c r="K196" s="50"/>
      <x:c r="L196" s="50"/>
      <x:c r="M196" s="50"/>
      <x:c r="N196" s="50"/>
      <x:c r="O196" s="50"/>
      <x:c r="P196" s="50"/>
      <x:c r="Q196" s="50"/>
      <x:c r="R196" s="50"/>
      <x:c r="S196" s="50"/>
      <x:c r="T196" s="50"/>
      <x:c r="U196" s="50"/>
      <x:c r="V196" s="50"/>
      <x:c r="W196" s="50"/>
      <x:c r="X196" s="50"/>
      <x:c r="Y196" s="50"/>
      <x:c r="Z196" s="50"/>
    </x:row>
    <x:row r="197">
      <x:c r="A197" s="50"/>
      <x:c r="B197" s="50"/>
      <x:c r="C197" s="50"/>
      <x:c r="D197" s="50"/>
      <x:c r="E197" s="50"/>
      <x:c r="F197" s="50"/>
      <x:c r="G197" s="50"/>
      <x:c r="H197" s="50"/>
      <x:c r="I197" s="50"/>
      <x:c r="J197" s="50"/>
      <x:c r="K197" s="50"/>
      <x:c r="L197" s="50"/>
      <x:c r="M197" s="50"/>
      <x:c r="N197" s="50"/>
      <x:c r="O197" s="50"/>
      <x:c r="P197" s="50"/>
      <x:c r="Q197" s="50"/>
      <x:c r="R197" s="50"/>
      <x:c r="S197" s="50"/>
      <x:c r="T197" s="50"/>
      <x:c r="U197" s="50"/>
      <x:c r="V197" s="50"/>
      <x:c r="W197" s="50"/>
      <x:c r="X197" s="50"/>
      <x:c r="Y197" s="50"/>
      <x:c r="Z197" s="50"/>
    </x:row>
    <x:row r="198">
      <x:c r="A198" s="50"/>
      <x:c r="B198" s="50"/>
      <x:c r="C198" s="50"/>
      <x:c r="D198" s="50"/>
      <x:c r="E198" s="50"/>
      <x:c r="F198" s="50"/>
      <x:c r="G198" s="50"/>
      <x:c r="H198" s="50"/>
      <x:c r="I198" s="50"/>
      <x:c r="J198" s="50"/>
      <x:c r="K198" s="50"/>
      <x:c r="L198" s="50"/>
      <x:c r="M198" s="50"/>
      <x:c r="N198" s="50"/>
      <x:c r="O198" s="50"/>
      <x:c r="P198" s="50"/>
      <x:c r="Q198" s="50"/>
      <x:c r="R198" s="50"/>
      <x:c r="S198" s="50"/>
      <x:c r="T198" s="50"/>
      <x:c r="U198" s="50"/>
      <x:c r="V198" s="50"/>
      <x:c r="W198" s="50"/>
      <x:c r="X198" s="50"/>
      <x:c r="Y198" s="50"/>
      <x:c r="Z198" s="50"/>
    </x:row>
    <x:row r="199">
      <x:c r="A199" s="50"/>
      <x:c r="B199" s="50"/>
      <x:c r="C199" s="50"/>
      <x:c r="D199" s="50"/>
      <x:c r="E199" s="50"/>
      <x:c r="F199" s="50"/>
      <x:c r="G199" s="50"/>
      <x:c r="H199" s="50"/>
      <x:c r="I199" s="50"/>
      <x:c r="J199" s="50"/>
      <x:c r="K199" s="50"/>
      <x:c r="L199" s="50"/>
      <x:c r="M199" s="50"/>
      <x:c r="N199" s="50"/>
      <x:c r="O199" s="50"/>
      <x:c r="P199" s="50"/>
      <x:c r="Q199" s="50"/>
      <x:c r="R199" s="50"/>
      <x:c r="S199" s="50"/>
      <x:c r="T199" s="50"/>
      <x:c r="U199" s="50"/>
      <x:c r="V199" s="50"/>
      <x:c r="W199" s="50"/>
      <x:c r="X199" s="50"/>
      <x:c r="Y199" s="50"/>
      <x:c r="Z199" s="50"/>
    </x:row>
    <x:row r="200">
      <x:c r="A200" s="50"/>
      <x:c r="B200" s="50"/>
      <x:c r="C200" s="50"/>
      <x:c r="D200" s="50"/>
      <x:c r="E200" s="50"/>
      <x:c r="F200" s="50"/>
      <x:c r="G200" s="50"/>
      <x:c r="H200" s="50"/>
      <x:c r="I200" s="50"/>
      <x:c r="J200" s="50"/>
      <x:c r="K200" s="50"/>
      <x:c r="L200" s="50"/>
      <x:c r="M200" s="50"/>
      <x:c r="N200" s="50"/>
      <x:c r="O200" s="50"/>
      <x:c r="P200" s="50"/>
      <x:c r="Q200" s="50"/>
      <x:c r="R200" s="50"/>
      <x:c r="S200" s="50"/>
      <x:c r="T200" s="50"/>
      <x:c r="U200" s="50"/>
      <x:c r="V200" s="50"/>
      <x:c r="W200" s="50"/>
      <x:c r="X200" s="50"/>
      <x:c r="Y200" s="50"/>
      <x:c r="Z200" s="50"/>
    </x:row>
  </x:sheetData>
  <x:mergeCells>
    <x:mergeCell ref="A1:D1"/>
  </x:mergeCells>
  <x:pageMargins left="0.7" right="0.7" top="0.75" bottom="0.75" header="0.3" footer="0.3"/>
</x:worksheet>
</file>