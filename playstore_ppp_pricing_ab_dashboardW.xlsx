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PricingModel" sheetId="2" state="visible" r:id="rId4"/>
    <sheet name="RoundingRules" sheetId="3" state="visible" r:id="rId5"/>
    <sheet name="SourceNotes" sheetId="4" state="visible" r:id="rId6"/>
    <sheet name="AB_TEST" sheetId="5" state="visible" r:id="rId7"/>
    <sheet name="AB_Dashboard" sheetId="6" state="visible" r:id="rId8"/>
    <sheet name="AB_Setup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<sst xmlns="http://schemas.openxmlformats.org/spreadsheetml/2006/main" count="1146" uniqueCount="801">
  <si>
    <t xml:space="preserve">Play Store PPP Pricing Template</t>
  </si>
  <si>
    <t xml:space="preserve">Base Price USD</t>
  </si>
  <si>
    <t xml:space="preserve">Global Min USD</t>
  </si>
  <si>
    <t xml:space="preserve">High PPP Floor USD</t>
  </si>
  <si>
    <t xml:space="preserve">Default Market Adj</t>
  </si>
  <si>
    <t xml:space="preserve">Default FX Source</t>
  </si>
  <si>
    <t xml:space="preserve">Manual / Google Sheets formula</t>
  </si>
  <si>
    <t xml:space="preserve">Last Updated</t>
  </si>
  <si>
    <t xml:space="preserve">2026-05-01</t>
  </si>
  <si>
    <t xml:space="preserve">Notes</t>
  </si>
  <si>
    <t xml:space="preserve">Edit yellow cells only. Final price uses PPP + Market Adj + FX + rounding rules.</t>
  </si>
  <si>
    <t xml:space="preserve">Output Sheet</t>
  </si>
  <si>
    <t xml:space="preserve">PricingModel</t>
  </si>
  <si>
    <t xml:space="preserve">How to use</t>
  </si>
  <si>
    <t xml:space="preserve">1) Set Base Price USD in B3</t>
  </si>
  <si>
    <t xml:space="preserve">2) Edit PPP/Market Adj/FX in PricingModel</t>
  </si>
  <si>
    <t xml:space="preserve">3) Check Final Rounded Local Price</t>
  </si>
  <si>
    <t xml:space="preserve">4) Enter prices manually in Play Console</t>
  </si>
  <si>
    <t xml:space="preserve">Tier</t>
  </si>
  <si>
    <t xml:space="preserve">PPP Range</t>
  </si>
  <si>
    <t xml:space="preserve">Strategy</t>
  </si>
  <si>
    <t xml:space="preserve">Typical Use</t>
  </si>
  <si>
    <t xml:space="preserve">A</t>
  </si>
  <si>
    <t xml:space="preserve">0.80 - 1.00</t>
  </si>
  <si>
    <t xml:space="preserve">Premium / near full price</t>
  </si>
  <si>
    <t xml:space="preserve">US, wealthier EU</t>
  </si>
  <si>
    <t xml:space="preserve">B</t>
  </si>
  <si>
    <t xml:space="preserve">0.60 - 0.79</t>
  </si>
  <si>
    <t xml:space="preserve">Slight discount</t>
  </si>
  <si>
    <t xml:space="preserve">Strong purchasing power</t>
  </si>
  <si>
    <t xml:space="preserve">C</t>
  </si>
  <si>
    <t xml:space="preserve">0.40 - 0.59</t>
  </si>
  <si>
    <t xml:space="preserve">Mid discount</t>
  </si>
  <si>
    <t xml:space="preserve">Balanced conversion/revenue</t>
  </si>
  <si>
    <t xml:space="preserve">D/E</t>
  </si>
  <si>
    <t xml:space="preserve">0.10 - 0.39</t>
  </si>
  <si>
    <t xml:space="preserve">Aggressive local price</t>
  </si>
  <si>
    <t xml:space="preserve">Volume markets</t>
  </si>
  <si>
    <t xml:space="preserve">Country</t>
  </si>
  <si>
    <t xml:space="preserve">Country Code</t>
  </si>
  <si>
    <t xml:space="preserve">Currency</t>
  </si>
  <si>
    <t xml:space="preserve">PPP Factor</t>
  </si>
  <si>
    <t xml:space="preserve">Base USD</t>
  </si>
  <si>
    <t xml:space="preserve">PPP Price USD</t>
  </si>
  <si>
    <t xml:space="preserve">Market Adj</t>
  </si>
  <si>
    <t xml:space="preserve">FX USD→Local</t>
  </si>
  <si>
    <t xml:space="preserve">Raw Local Price</t>
  </si>
  <si>
    <t xml:space="preserve">Rounding Group</t>
  </si>
  <si>
    <t xml:space="preserve">Final Rounded Local</t>
  </si>
  <si>
    <t xml:space="preserve">Final USD Approx</t>
  </si>
  <si>
    <t xml:space="preserve">Recommended Action</t>
  </si>
  <si>
    <t xml:space="preserve">FX Formula for Google Sheets</t>
  </si>
  <si>
    <t xml:space="preserve">Arnavutluk</t>
  </si>
  <si>
    <t xml:space="preserve">Albania</t>
  </si>
  <si>
    <t xml:space="preserve">AL</t>
  </si>
  <si>
    <t xml:space="preserve">ALL</t>
  </si>
  <si>
    <t xml:space="preserve">0,35</t>
  </si>
  <si>
    <t xml:space="preserve">D</t>
  </si>
  <si>
    <t xml:space="preserve">=GOOGLEFINANCE("CURRENCY:USDALL")</t>
  </si>
  <si>
    <t xml:space="preserve">Cezayir</t>
  </si>
  <si>
    <t xml:space="preserve">Algeria</t>
  </si>
  <si>
    <t xml:space="preserve">DZ</t>
  </si>
  <si>
    <t xml:space="preserve">DZD</t>
  </si>
  <si>
    <t xml:space="preserve">Angola</t>
  </si>
  <si>
    <t xml:space="preserve">AO</t>
  </si>
  <si>
    <t xml:space="preserve">AOA</t>
  </si>
  <si>
    <t xml:space="preserve">E</t>
  </si>
  <si>
    <t xml:space="preserve">Antigua ve Barbuda</t>
  </si>
  <si>
    <t xml:space="preserve">Antigua and Barbuda</t>
  </si>
  <si>
    <t xml:space="preserve">AG</t>
  </si>
  <si>
    <t xml:space="preserve">XCD</t>
  </si>
  <si>
    <t xml:space="preserve">Arjantin</t>
  </si>
  <si>
    <t xml:space="preserve">Argentina</t>
  </si>
  <si>
    <t xml:space="preserve">AR</t>
  </si>
  <si>
    <t xml:space="preserve">ARS</t>
  </si>
  <si>
    <t xml:space="preserve">Ermenistan</t>
  </si>
  <si>
    <t xml:space="preserve">Armenia</t>
  </si>
  <si>
    <t xml:space="preserve">AM</t>
  </si>
  <si>
    <t xml:space="preserve">AMD</t>
  </si>
  <si>
    <t xml:space="preserve">Aruba</t>
  </si>
  <si>
    <t xml:space="preserve">AW</t>
  </si>
  <si>
    <t xml:space="preserve">AWG</t>
  </si>
  <si>
    <t xml:space="preserve">Avustralya</t>
  </si>
  <si>
    <t xml:space="preserve">Australia</t>
  </si>
  <si>
    <t xml:space="preserve">AU</t>
  </si>
  <si>
    <t xml:space="preserve">AUD</t>
  </si>
  <si>
    <t xml:space="preserve">AUD_99</t>
  </si>
  <si>
    <t xml:space="preserve">=GOOGLEFINANCE("CURRENCY:USDAUD")</t>
  </si>
  <si>
    <t xml:space="preserve">Avusturya</t>
  </si>
  <si>
    <t xml:space="preserve">Austria</t>
  </si>
  <si>
    <t xml:space="preserve">AT</t>
  </si>
  <si>
    <t xml:space="preserve">EUR</t>
  </si>
  <si>
    <t xml:space="preserve">Azerbaycan</t>
  </si>
  <si>
    <t xml:space="preserve">Azerbaijan</t>
  </si>
  <si>
    <t xml:space="preserve">AZ</t>
  </si>
  <si>
    <t xml:space="preserve">AZN</t>
  </si>
  <si>
    <t xml:space="preserve">Bahamalar</t>
  </si>
  <si>
    <t xml:space="preserve">Bahamas</t>
  </si>
  <si>
    <t xml:space="preserve">BS</t>
  </si>
  <si>
    <t xml:space="preserve">BSD</t>
  </si>
  <si>
    <t xml:space="preserve">Bahreyn</t>
  </si>
  <si>
    <t xml:space="preserve">Bahrain</t>
  </si>
  <si>
    <t xml:space="preserve">BH</t>
  </si>
  <si>
    <t xml:space="preserve">BHD</t>
  </si>
  <si>
    <t xml:space="preserve">Bangladeş</t>
  </si>
  <si>
    <t xml:space="preserve">Bangladesh</t>
  </si>
  <si>
    <t xml:space="preserve">BD</t>
  </si>
  <si>
    <t xml:space="preserve">BDT</t>
  </si>
  <si>
    <t xml:space="preserve">Belarus</t>
  </si>
  <si>
    <t xml:space="preserve">BY</t>
  </si>
  <si>
    <t xml:space="preserve">BYN</t>
  </si>
  <si>
    <t xml:space="preserve">Belçika</t>
  </si>
  <si>
    <t xml:space="preserve">Belgium</t>
  </si>
  <si>
    <t xml:space="preserve">BE</t>
  </si>
  <si>
    <t xml:space="preserve">Belize</t>
  </si>
  <si>
    <t xml:space="preserve">BZ</t>
  </si>
  <si>
    <t xml:space="preserve">BZD</t>
  </si>
  <si>
    <t xml:space="preserve">Benin</t>
  </si>
  <si>
    <t xml:space="preserve">BJ</t>
  </si>
  <si>
    <t xml:space="preserve">XOF</t>
  </si>
  <si>
    <t xml:space="preserve">Bermuda</t>
  </si>
  <si>
    <t xml:space="preserve">BM</t>
  </si>
  <si>
    <t xml:space="preserve">BMD</t>
  </si>
  <si>
    <t xml:space="preserve">Bolivya</t>
  </si>
  <si>
    <t xml:space="preserve">Bolivia</t>
  </si>
  <si>
    <t xml:space="preserve">BO</t>
  </si>
  <si>
    <t xml:space="preserve">BOB-BOV</t>
  </si>
  <si>
    <t xml:space="preserve">Bosna-Hersek</t>
  </si>
  <si>
    <t xml:space="preserve">Bosnia and Herzegovina </t>
  </si>
  <si>
    <t xml:space="preserve">BA</t>
  </si>
  <si>
    <t xml:space="preserve">BAM</t>
  </si>
  <si>
    <t xml:space="preserve">Botsvana</t>
  </si>
  <si>
    <t xml:space="preserve">Botswana</t>
  </si>
  <si>
    <t xml:space="preserve">BW</t>
  </si>
  <si>
    <t xml:space="preserve">BWP</t>
  </si>
  <si>
    <t xml:space="preserve">Brezilya</t>
  </si>
  <si>
    <t xml:space="preserve">Brazil</t>
  </si>
  <si>
    <t xml:space="preserve">BR</t>
  </si>
  <si>
    <t xml:space="preserve">BRL</t>
  </si>
  <si>
    <t xml:space="preserve">BRL_90</t>
  </si>
  <si>
    <t xml:space="preserve">=GOOGLEFINANCE("CURRENCY:USDBRL")</t>
  </si>
  <si>
    <t xml:space="preserve">Bulgaristan</t>
  </si>
  <si>
    <t xml:space="preserve">Bulgaria</t>
  </si>
  <si>
    <t xml:space="preserve">BG</t>
  </si>
  <si>
    <t xml:space="preserve">BGN</t>
  </si>
  <si>
    <t xml:space="preserve">Burkina Faso</t>
  </si>
  <si>
    <t xml:space="preserve">BF</t>
  </si>
  <si>
    <t xml:space="preserve">Cabo Verde</t>
  </si>
  <si>
    <t xml:space="preserve">CV</t>
  </si>
  <si>
    <t xml:space="preserve">CVE</t>
  </si>
  <si>
    <t xml:space="preserve">Kamboçya</t>
  </si>
  <si>
    <t xml:space="preserve">Cambodia</t>
  </si>
  <si>
    <t xml:space="preserve">KH</t>
  </si>
  <si>
    <t xml:space="preserve">KHR</t>
  </si>
  <si>
    <t xml:space="preserve">Kamerun</t>
  </si>
  <si>
    <t xml:space="preserve">Cameroon</t>
  </si>
  <si>
    <t xml:space="preserve">CM</t>
  </si>
  <si>
    <t xml:space="preserve">XAF</t>
  </si>
  <si>
    <t xml:space="preserve">Kanada</t>
  </si>
  <si>
    <t xml:space="preserve">Canada</t>
  </si>
  <si>
    <t xml:space="preserve">CA</t>
  </si>
  <si>
    <t xml:space="preserve">CAD</t>
  </si>
  <si>
    <t xml:space="preserve">CAD_99</t>
  </si>
  <si>
    <t xml:space="preserve">=GOOGLEFINANCE("CURRENCY:USDCAD")</t>
  </si>
  <si>
    <t xml:space="preserve">Cayman Adaları</t>
  </si>
  <si>
    <t xml:space="preserve">Cayman Islands</t>
  </si>
  <si>
    <t xml:space="preserve">KY</t>
  </si>
  <si>
    <t xml:space="preserve">KYD</t>
  </si>
  <si>
    <t xml:space="preserve">Orta Afrika Cumhuriyeti</t>
  </si>
  <si>
    <t xml:space="preserve">Central African Republic </t>
  </si>
  <si>
    <t xml:space="preserve">CF</t>
  </si>
  <si>
    <t xml:space="preserve">Çad</t>
  </si>
  <si>
    <t xml:space="preserve">Chad</t>
  </si>
  <si>
    <t xml:space="preserve">TD</t>
  </si>
  <si>
    <t xml:space="preserve">Şili</t>
  </si>
  <si>
    <t xml:space="preserve">Chile</t>
  </si>
  <si>
    <t xml:space="preserve">CL</t>
  </si>
  <si>
    <t xml:space="preserve">CLP</t>
  </si>
  <si>
    <t xml:space="preserve">Kolombiya</t>
  </si>
  <si>
    <t xml:space="preserve">Colombia</t>
  </si>
  <si>
    <t xml:space="preserve">CO</t>
  </si>
  <si>
    <t xml:space="preserve">COP-COU</t>
  </si>
  <si>
    <t xml:space="preserve">Komorlar</t>
  </si>
  <si>
    <t xml:space="preserve">Comoros</t>
  </si>
  <si>
    <t xml:space="preserve">KM</t>
  </si>
  <si>
    <t xml:space="preserve">KMF</t>
  </si>
  <si>
    <t xml:space="preserve">Kongo-Brazavil</t>
  </si>
  <si>
    <t xml:space="preserve">Congo</t>
  </si>
  <si>
    <t xml:space="preserve">CG</t>
  </si>
  <si>
    <t xml:space="preserve">Kongo-Kinşasa</t>
  </si>
  <si>
    <t xml:space="preserve">Congo (the Democratic Republic of the) </t>
  </si>
  <si>
    <t xml:space="preserve">CD</t>
  </si>
  <si>
    <t xml:space="preserve">CDF</t>
  </si>
  <si>
    <t xml:space="preserve">KostaRika</t>
  </si>
  <si>
    <t xml:space="preserve">Costa Rica</t>
  </si>
  <si>
    <t xml:space="preserve">CR</t>
  </si>
  <si>
    <t xml:space="preserve">CRC</t>
  </si>
  <si>
    <t xml:space="preserve">Côte d’Ivoire </t>
  </si>
  <si>
    <t xml:space="preserve">CI</t>
  </si>
  <si>
    <t xml:space="preserve">Hırvatistan</t>
  </si>
  <si>
    <t xml:space="preserve">Croaita</t>
  </si>
  <si>
    <t xml:space="preserve">HR</t>
  </si>
  <si>
    <t xml:space="preserve">Kıbrıs</t>
  </si>
  <si>
    <t xml:space="preserve">Cyprus</t>
  </si>
  <si>
    <t xml:space="preserve">CY</t>
  </si>
  <si>
    <t xml:space="preserve">Çekya</t>
  </si>
  <si>
    <t xml:space="preserve">czechia </t>
  </si>
  <si>
    <t xml:space="preserve">CZ</t>
  </si>
  <si>
    <t xml:space="preserve">CZK</t>
  </si>
  <si>
    <t xml:space="preserve">Danimarka</t>
  </si>
  <si>
    <t xml:space="preserve">Denmark</t>
  </si>
  <si>
    <t xml:space="preserve">DK</t>
  </si>
  <si>
    <t xml:space="preserve">DKK</t>
  </si>
  <si>
    <t xml:space="preserve">Cibuti</t>
  </si>
  <si>
    <t xml:space="preserve">Djibouti</t>
  </si>
  <si>
    <t xml:space="preserve">DJ</t>
  </si>
  <si>
    <t xml:space="preserve">DJF</t>
  </si>
  <si>
    <t xml:space="preserve">Dominika</t>
  </si>
  <si>
    <t xml:space="preserve">Dominica</t>
  </si>
  <si>
    <t xml:space="preserve">DO</t>
  </si>
  <si>
    <t xml:space="preserve">Dominik Cumhuriyeti</t>
  </si>
  <si>
    <t xml:space="preserve">Dominican Republic</t>
  </si>
  <si>
    <t xml:space="preserve">DOP</t>
  </si>
  <si>
    <t xml:space="preserve">Ekvador</t>
  </si>
  <si>
    <t xml:space="preserve">Ecuador</t>
  </si>
  <si>
    <t xml:space="preserve">EC</t>
  </si>
  <si>
    <t xml:space="preserve">USD</t>
  </si>
  <si>
    <t xml:space="preserve">Mısır</t>
  </si>
  <si>
    <t xml:space="preserve">Egypt </t>
  </si>
  <si>
    <t xml:space="preserve">EG</t>
  </si>
  <si>
    <t xml:space="preserve">EGP</t>
  </si>
  <si>
    <t xml:space="preserve">El Salvador</t>
  </si>
  <si>
    <t xml:space="preserve">SV</t>
  </si>
  <si>
    <t xml:space="preserve">SVC-USD</t>
  </si>
  <si>
    <t xml:space="preserve">Eritre</t>
  </si>
  <si>
    <t xml:space="preserve">Eritrea</t>
  </si>
  <si>
    <t xml:space="preserve">ER</t>
  </si>
  <si>
    <t xml:space="preserve">ERN</t>
  </si>
  <si>
    <t xml:space="preserve">Estonya</t>
  </si>
  <si>
    <t xml:space="preserve">Estonia</t>
  </si>
  <si>
    <t xml:space="preserve">EE</t>
  </si>
  <si>
    <t xml:space="preserve">Fiji</t>
  </si>
  <si>
    <t xml:space="preserve">FJ</t>
  </si>
  <si>
    <t xml:space="preserve">FJD</t>
  </si>
  <si>
    <t xml:space="preserve">Finlandiya</t>
  </si>
  <si>
    <t xml:space="preserve">Finland</t>
  </si>
  <si>
    <t xml:space="preserve">FI</t>
  </si>
  <si>
    <t xml:space="preserve">Fransa</t>
  </si>
  <si>
    <t xml:space="preserve">France</t>
  </si>
  <si>
    <t xml:space="preserve">FR</t>
  </si>
  <si>
    <t xml:space="preserve">Gabon</t>
  </si>
  <si>
    <t xml:space="preserve">GA</t>
  </si>
  <si>
    <t xml:space="preserve">Gambiya</t>
  </si>
  <si>
    <t xml:space="preserve">Gambia</t>
  </si>
  <si>
    <t xml:space="preserve">GM</t>
  </si>
  <si>
    <t xml:space="preserve">GMD</t>
  </si>
  <si>
    <t xml:space="preserve">Gürcistan</t>
  </si>
  <si>
    <t xml:space="preserve">Georgia</t>
  </si>
  <si>
    <t xml:space="preserve">GE</t>
  </si>
  <si>
    <t xml:space="preserve">GEL</t>
  </si>
  <si>
    <t xml:space="preserve">Almanya</t>
  </si>
  <si>
    <t xml:space="preserve">Germany</t>
  </si>
  <si>
    <t xml:space="preserve">DE</t>
  </si>
  <si>
    <t xml:space="preserve">EUR_99</t>
  </si>
  <si>
    <t xml:space="preserve">=GOOGLEFINANCE("CURRENCY:USDEUR")</t>
  </si>
  <si>
    <t xml:space="preserve">EU premium market</t>
  </si>
  <si>
    <t xml:space="preserve">Gana</t>
  </si>
  <si>
    <t xml:space="preserve">Ghana</t>
  </si>
  <si>
    <t xml:space="preserve">GH</t>
  </si>
  <si>
    <t xml:space="preserve">GHS</t>
  </si>
  <si>
    <t xml:space="preserve">Cebelitarık</t>
  </si>
  <si>
    <t xml:space="preserve">Gibraltar</t>
  </si>
  <si>
    <t xml:space="preserve">GI</t>
  </si>
  <si>
    <t xml:space="preserve">GIP</t>
  </si>
  <si>
    <t xml:space="preserve">Yunanistan</t>
  </si>
  <si>
    <t xml:space="preserve">Greece</t>
  </si>
  <si>
    <t xml:space="preserve">GR</t>
  </si>
  <si>
    <t xml:space="preserve">Grenada</t>
  </si>
  <si>
    <t xml:space="preserve">GD</t>
  </si>
  <si>
    <t xml:space="preserve">Guatemala</t>
  </si>
  <si>
    <t xml:space="preserve">GT</t>
  </si>
  <si>
    <t xml:space="preserve">GTQ</t>
  </si>
  <si>
    <t xml:space="preserve">Gine</t>
  </si>
  <si>
    <t xml:space="preserve">Guinea</t>
  </si>
  <si>
    <t xml:space="preserve">GN</t>
  </si>
  <si>
    <t xml:space="preserve">GNF</t>
  </si>
  <si>
    <t xml:space="preserve">Gine-Bissau</t>
  </si>
  <si>
    <t xml:space="preserve">Guinea-Bissau </t>
  </si>
  <si>
    <t xml:space="preserve">GW</t>
  </si>
  <si>
    <t xml:space="preserve">Haiti</t>
  </si>
  <si>
    <t xml:space="preserve">HT</t>
  </si>
  <si>
    <t xml:space="preserve">HTG</t>
  </si>
  <si>
    <t xml:space="preserve">Honduras</t>
  </si>
  <si>
    <t xml:space="preserve">HN</t>
  </si>
  <si>
    <t xml:space="preserve">HNL</t>
  </si>
  <si>
    <t xml:space="preserve">HongKong</t>
  </si>
  <si>
    <t xml:space="preserve">HK</t>
  </si>
  <si>
    <t xml:space="preserve">HKD</t>
  </si>
  <si>
    <t xml:space="preserve">Macaristan</t>
  </si>
  <si>
    <t xml:space="preserve">Hungary </t>
  </si>
  <si>
    <t xml:space="preserve">HU</t>
  </si>
  <si>
    <t xml:space="preserve">HUF</t>
  </si>
  <si>
    <t xml:space="preserve">İzlanda</t>
  </si>
  <si>
    <t xml:space="preserve">Iceland </t>
  </si>
  <si>
    <t xml:space="preserve">IS</t>
  </si>
  <si>
    <t xml:space="preserve">ISK</t>
  </si>
  <si>
    <t xml:space="preserve">Hindistan</t>
  </si>
  <si>
    <t xml:space="preserve">India</t>
  </si>
  <si>
    <t xml:space="preserve">IN</t>
  </si>
  <si>
    <t xml:space="preserve">INR</t>
  </si>
  <si>
    <t xml:space="preserve">INR_TIERS</t>
  </si>
  <si>
    <t xml:space="preserve">=GOOGLEFINANCE("CURRENCY:USDINR")</t>
  </si>
  <si>
    <t xml:space="preserve">Volume market</t>
  </si>
  <si>
    <t xml:space="preserve">Endonezya</t>
  </si>
  <si>
    <t xml:space="preserve">Indonesia</t>
  </si>
  <si>
    <t xml:space="preserve">ID</t>
  </si>
  <si>
    <t xml:space="preserve">IDR</t>
  </si>
  <si>
    <t xml:space="preserve">IDR_000</t>
  </si>
  <si>
    <t xml:space="preserve">=GOOGLEFINANCE("CURRENCY:USDIDR")</t>
  </si>
  <si>
    <t xml:space="preserve">Irak</t>
  </si>
  <si>
    <t xml:space="preserve">Iraq</t>
  </si>
  <si>
    <t xml:space="preserve">IQ</t>
  </si>
  <si>
    <t xml:space="preserve">IQD</t>
  </si>
  <si>
    <t xml:space="preserve">İrlanda</t>
  </si>
  <si>
    <t xml:space="preserve">Ireland</t>
  </si>
  <si>
    <t xml:space="preserve">IE</t>
  </si>
  <si>
    <t xml:space="preserve">İsrail</t>
  </si>
  <si>
    <t xml:space="preserve">Israel</t>
  </si>
  <si>
    <t xml:space="preserve">IL</t>
  </si>
  <si>
    <t xml:space="preserve">ILS</t>
  </si>
  <si>
    <t xml:space="preserve">İtalya</t>
  </si>
  <si>
    <t xml:space="preserve">Italy</t>
  </si>
  <si>
    <t xml:space="preserve">IT</t>
  </si>
  <si>
    <t xml:space="preserve">Jamaika</t>
  </si>
  <si>
    <t xml:space="preserve">Jamaica</t>
  </si>
  <si>
    <t xml:space="preserve">JM</t>
  </si>
  <si>
    <t xml:space="preserve">JMD</t>
  </si>
  <si>
    <t xml:space="preserve">Japonya</t>
  </si>
  <si>
    <t xml:space="preserve">Japan</t>
  </si>
  <si>
    <t xml:space="preserve">JP</t>
  </si>
  <si>
    <t xml:space="preserve">JPY</t>
  </si>
  <si>
    <t xml:space="preserve">JPY_00</t>
  </si>
  <si>
    <t xml:space="preserve">=GOOGLEFINANCE("CURRENCY:USDJPY")</t>
  </si>
  <si>
    <t xml:space="preserve">Ürdün</t>
  </si>
  <si>
    <t xml:space="preserve">Jordan</t>
  </si>
  <si>
    <t xml:space="preserve">JO</t>
  </si>
  <si>
    <t xml:space="preserve">JOD</t>
  </si>
  <si>
    <t xml:space="preserve">Kazakistan</t>
  </si>
  <si>
    <t xml:space="preserve">Kazakhstan </t>
  </si>
  <si>
    <t xml:space="preserve">KZ</t>
  </si>
  <si>
    <t xml:space="preserve">KZT</t>
  </si>
  <si>
    <t xml:space="preserve">Kenya</t>
  </si>
  <si>
    <t xml:space="preserve">KE</t>
  </si>
  <si>
    <t xml:space="preserve">KES</t>
  </si>
  <si>
    <t xml:space="preserve">Kuveyt</t>
  </si>
  <si>
    <t xml:space="preserve">Kuwait</t>
  </si>
  <si>
    <t xml:space="preserve">KW</t>
  </si>
  <si>
    <t xml:space="preserve">KWD</t>
  </si>
  <si>
    <t xml:space="preserve">Kırgızistan</t>
  </si>
  <si>
    <t xml:space="preserve">Kyrgyzstan </t>
  </si>
  <si>
    <t xml:space="preserve">KG</t>
  </si>
  <si>
    <t xml:space="preserve">KGS</t>
  </si>
  <si>
    <t xml:space="preserve">Laos</t>
  </si>
  <si>
    <t xml:space="preserve">Lao People's Democratic Republic  </t>
  </si>
  <si>
    <t xml:space="preserve">LA</t>
  </si>
  <si>
    <t xml:space="preserve">LAK</t>
  </si>
  <si>
    <t xml:space="preserve">Letonya</t>
  </si>
  <si>
    <t xml:space="preserve">Latvia</t>
  </si>
  <si>
    <t xml:space="preserve">LV</t>
  </si>
  <si>
    <t xml:space="preserve">Lübnan</t>
  </si>
  <si>
    <t xml:space="preserve">Lebanon </t>
  </si>
  <si>
    <t xml:space="preserve">LB</t>
  </si>
  <si>
    <t xml:space="preserve">LBP</t>
  </si>
  <si>
    <t xml:space="preserve">Liberya</t>
  </si>
  <si>
    <t xml:space="preserve">Liberia</t>
  </si>
  <si>
    <t xml:space="preserve">LR</t>
  </si>
  <si>
    <t xml:space="preserve">LRD</t>
  </si>
  <si>
    <t xml:space="preserve">Libya</t>
  </si>
  <si>
    <t xml:space="preserve">LY</t>
  </si>
  <si>
    <t xml:space="preserve">LYD</t>
  </si>
  <si>
    <t xml:space="preserve">Liechtenstan</t>
  </si>
  <si>
    <t xml:space="preserve">Liechtenstein </t>
  </si>
  <si>
    <t xml:space="preserve">LI</t>
  </si>
  <si>
    <t xml:space="preserve">CHF</t>
  </si>
  <si>
    <t xml:space="preserve">Litvanya</t>
  </si>
  <si>
    <t xml:space="preserve">Lithuania </t>
  </si>
  <si>
    <t xml:space="preserve">LT</t>
  </si>
  <si>
    <t xml:space="preserve">Lüksemburg</t>
  </si>
  <si>
    <t xml:space="preserve">Luxembourg </t>
  </si>
  <si>
    <t xml:space="preserve">LU</t>
  </si>
  <si>
    <t xml:space="preserve">Makao</t>
  </si>
  <si>
    <t xml:space="preserve">Macao </t>
  </si>
  <si>
    <t xml:space="preserve">MO</t>
  </si>
  <si>
    <t xml:space="preserve">MOP</t>
  </si>
  <si>
    <t xml:space="preserve">Malezya</t>
  </si>
  <si>
    <t xml:space="preserve">Malaysia </t>
  </si>
  <si>
    <t xml:space="preserve">MY</t>
  </si>
  <si>
    <t xml:space="preserve">MYR</t>
  </si>
  <si>
    <t xml:space="preserve">Maldivler</t>
  </si>
  <si>
    <t xml:space="preserve">Maldives </t>
  </si>
  <si>
    <t xml:space="preserve">MV</t>
  </si>
  <si>
    <t xml:space="preserve">MVR</t>
  </si>
  <si>
    <t xml:space="preserve">Mali</t>
  </si>
  <si>
    <t xml:space="preserve">ML</t>
  </si>
  <si>
    <t xml:space="preserve">Malta</t>
  </si>
  <si>
    <t xml:space="preserve">MT</t>
  </si>
  <si>
    <t xml:space="preserve">Mauritius</t>
  </si>
  <si>
    <t xml:space="preserve">Mauritius </t>
  </si>
  <si>
    <t xml:space="preserve">MU</t>
  </si>
  <si>
    <t xml:space="preserve">MUR</t>
  </si>
  <si>
    <t xml:space="preserve">Meksika</t>
  </si>
  <si>
    <t xml:space="preserve">Mexico</t>
  </si>
  <si>
    <t xml:space="preserve">MX</t>
  </si>
  <si>
    <t xml:space="preserve">MXN</t>
  </si>
  <si>
    <t xml:space="preserve">MXN_00</t>
  </si>
  <si>
    <t xml:space="preserve">=GOOGLEFINANCE("CURRENCY:USDMXN")</t>
  </si>
  <si>
    <t xml:space="preserve">Mikronezya</t>
  </si>
  <si>
    <t xml:space="preserve">Micronesia (Federated States of) </t>
  </si>
  <si>
    <t xml:space="preserve">FM</t>
  </si>
  <si>
    <t xml:space="preserve">Moldova</t>
  </si>
  <si>
    <t xml:space="preserve">Moldova (the Republic of) </t>
  </si>
  <si>
    <t xml:space="preserve">MD</t>
  </si>
  <si>
    <t xml:space="preserve">MDL</t>
  </si>
  <si>
    <t xml:space="preserve">Monako</t>
  </si>
  <si>
    <t xml:space="preserve">Monaco </t>
  </si>
  <si>
    <t xml:space="preserve">MC</t>
  </si>
  <si>
    <t xml:space="preserve">Moğolistan</t>
  </si>
  <si>
    <t xml:space="preserve">Mongolia </t>
  </si>
  <si>
    <t xml:space="preserve">MN</t>
  </si>
  <si>
    <t xml:space="preserve">MNT</t>
  </si>
  <si>
    <t xml:space="preserve">Fas</t>
  </si>
  <si>
    <t xml:space="preserve">Morocco</t>
  </si>
  <si>
    <t xml:space="preserve">MA</t>
  </si>
  <si>
    <t xml:space="preserve">MAD</t>
  </si>
  <si>
    <t xml:space="preserve">Mozambik</t>
  </si>
  <si>
    <t xml:space="preserve">Mozambique </t>
  </si>
  <si>
    <t xml:space="preserve">MZ</t>
  </si>
  <si>
    <t xml:space="preserve">MZN</t>
  </si>
  <si>
    <t xml:space="preserve">Myanmar(Burma)</t>
  </si>
  <si>
    <t xml:space="preserve">Myanmar </t>
  </si>
  <si>
    <t xml:space="preserve">MM</t>
  </si>
  <si>
    <t xml:space="preserve">MMK</t>
  </si>
  <si>
    <t xml:space="preserve">Namibya</t>
  </si>
  <si>
    <t xml:space="preserve">Namibia </t>
  </si>
  <si>
    <t xml:space="preserve">NA</t>
  </si>
  <si>
    <t xml:space="preserve">NAD-ZAR</t>
  </si>
  <si>
    <t xml:space="preserve">Nepal</t>
  </si>
  <si>
    <t xml:space="preserve">NP</t>
  </si>
  <si>
    <t xml:space="preserve">NPR</t>
  </si>
  <si>
    <t xml:space="preserve">Hollanda</t>
  </si>
  <si>
    <t xml:space="preserve">Netherlands </t>
  </si>
  <si>
    <t xml:space="preserve">NL</t>
  </si>
  <si>
    <t xml:space="preserve">YeniZelanda</t>
  </si>
  <si>
    <t xml:space="preserve">New Zealand </t>
  </si>
  <si>
    <t xml:space="preserve">NZ</t>
  </si>
  <si>
    <t xml:space="preserve">NZD</t>
  </si>
  <si>
    <t xml:space="preserve">Nikaragua</t>
  </si>
  <si>
    <t xml:space="preserve">Nicaragua </t>
  </si>
  <si>
    <t xml:space="preserve">NI</t>
  </si>
  <si>
    <t xml:space="preserve">NIO</t>
  </si>
  <si>
    <t xml:space="preserve">Nijer</t>
  </si>
  <si>
    <t xml:space="preserve">Niger</t>
  </si>
  <si>
    <t xml:space="preserve">NE</t>
  </si>
  <si>
    <t xml:space="preserve">Nijerya</t>
  </si>
  <si>
    <t xml:space="preserve">Nigeria</t>
  </si>
  <si>
    <t xml:space="preserve">NG</t>
  </si>
  <si>
    <t xml:space="preserve">NGN</t>
  </si>
  <si>
    <t xml:space="preserve">Norveç</t>
  </si>
  <si>
    <t xml:space="preserve">Norway </t>
  </si>
  <si>
    <t xml:space="preserve">NO</t>
  </si>
  <si>
    <t xml:space="preserve">NOK</t>
  </si>
  <si>
    <t xml:space="preserve">Umman</t>
  </si>
  <si>
    <t xml:space="preserve">Oman</t>
  </si>
  <si>
    <t xml:space="preserve">OM</t>
  </si>
  <si>
    <t xml:space="preserve">OMR</t>
  </si>
  <si>
    <t xml:space="preserve">Pakistan</t>
  </si>
  <si>
    <t xml:space="preserve">Pakistan </t>
  </si>
  <si>
    <t xml:space="preserve">PK</t>
  </si>
  <si>
    <t xml:space="preserve">PKR</t>
  </si>
  <si>
    <t xml:space="preserve">Panama</t>
  </si>
  <si>
    <t xml:space="preserve">PA</t>
  </si>
  <si>
    <t xml:space="preserve">PAB</t>
  </si>
  <si>
    <t xml:space="preserve">Papua Yeni Gine</t>
  </si>
  <si>
    <t xml:space="preserve">Papua New Guinea </t>
  </si>
  <si>
    <t xml:space="preserve">PG</t>
  </si>
  <si>
    <t xml:space="preserve">PGK</t>
  </si>
  <si>
    <t xml:space="preserve">Paraguay</t>
  </si>
  <si>
    <t xml:space="preserve">PY</t>
  </si>
  <si>
    <t xml:space="preserve">PYG</t>
  </si>
  <si>
    <t xml:space="preserve">Peru</t>
  </si>
  <si>
    <t xml:space="preserve">PE</t>
  </si>
  <si>
    <t xml:space="preserve">PEN</t>
  </si>
  <si>
    <t xml:space="preserve">Filipinler</t>
  </si>
  <si>
    <t xml:space="preserve">Philippines  </t>
  </si>
  <si>
    <t xml:space="preserve">PH</t>
  </si>
  <si>
    <t xml:space="preserve">PHP</t>
  </si>
  <si>
    <t xml:space="preserve">Polonya</t>
  </si>
  <si>
    <t xml:space="preserve">Poland</t>
  </si>
  <si>
    <t xml:space="preserve">PL</t>
  </si>
  <si>
    <t xml:space="preserve">PLN</t>
  </si>
  <si>
    <t xml:space="preserve">PLN_99</t>
  </si>
  <si>
    <t xml:space="preserve">=GOOGLEFINANCE("CURRENCY:USDPLN")</t>
  </si>
  <si>
    <t xml:space="preserve">Portekiz</t>
  </si>
  <si>
    <t xml:space="preserve">Portugal </t>
  </si>
  <si>
    <t xml:space="preserve">PT</t>
  </si>
  <si>
    <t xml:space="preserve">Katar</t>
  </si>
  <si>
    <t xml:space="preserve">Qatar</t>
  </si>
  <si>
    <t xml:space="preserve">QA</t>
  </si>
  <si>
    <t xml:space="preserve">QAR</t>
  </si>
  <si>
    <t xml:space="preserve">Kuzey Makedonya</t>
  </si>
  <si>
    <t xml:space="preserve">Republic of North Macedonia </t>
  </si>
  <si>
    <t xml:space="preserve">MK</t>
  </si>
  <si>
    <t xml:space="preserve">MKD</t>
  </si>
  <si>
    <t xml:space="preserve">Romanya</t>
  </si>
  <si>
    <t xml:space="preserve">Romania </t>
  </si>
  <si>
    <t xml:space="preserve">RO</t>
  </si>
  <si>
    <t xml:space="preserve">RON</t>
  </si>
  <si>
    <t xml:space="preserve">Rusya</t>
  </si>
  <si>
    <t xml:space="preserve">Russian Federation </t>
  </si>
  <si>
    <t xml:space="preserve">RU</t>
  </si>
  <si>
    <t xml:space="preserve">RUB</t>
  </si>
  <si>
    <t xml:space="preserve">Ruanda</t>
  </si>
  <si>
    <t xml:space="preserve">Rwanda </t>
  </si>
  <si>
    <t xml:space="preserve">RW</t>
  </si>
  <si>
    <t xml:space="preserve">RWF</t>
  </si>
  <si>
    <t xml:space="preserve">Saint Kitts ve Nevis</t>
  </si>
  <si>
    <t xml:space="preserve">Saint Kitts and Nevis </t>
  </si>
  <si>
    <t xml:space="preserve">KN</t>
  </si>
  <si>
    <t xml:space="preserve">Saint Lucia</t>
  </si>
  <si>
    <t xml:space="preserve">Saint Lucia </t>
  </si>
  <si>
    <t xml:space="preserve">LC</t>
  </si>
  <si>
    <t xml:space="preserve">Samoa</t>
  </si>
  <si>
    <t xml:space="preserve">WS</t>
  </si>
  <si>
    <t xml:space="preserve">WST</t>
  </si>
  <si>
    <t xml:space="preserve">San Marino</t>
  </si>
  <si>
    <t xml:space="preserve">San Marino </t>
  </si>
  <si>
    <t xml:space="preserve">SM</t>
  </si>
  <si>
    <t xml:space="preserve">Suudi Arabistan</t>
  </si>
  <si>
    <t xml:space="preserve">Saudi Arabia </t>
  </si>
  <si>
    <t xml:space="preserve">SA</t>
  </si>
  <si>
    <t xml:space="preserve">SAR</t>
  </si>
  <si>
    <t xml:space="preserve">Senegal</t>
  </si>
  <si>
    <t xml:space="preserve">Senegal </t>
  </si>
  <si>
    <t xml:space="preserve">SN</t>
  </si>
  <si>
    <t xml:space="preserve">Sırbistan</t>
  </si>
  <si>
    <t xml:space="preserve">Serbia</t>
  </si>
  <si>
    <t xml:space="preserve">RS</t>
  </si>
  <si>
    <t xml:space="preserve">RSD</t>
  </si>
  <si>
    <t xml:space="preserve">Seyşeller</t>
  </si>
  <si>
    <t xml:space="preserve">Seychelles </t>
  </si>
  <si>
    <t xml:space="preserve">SC</t>
  </si>
  <si>
    <t xml:space="preserve">SCR</t>
  </si>
  <si>
    <t xml:space="preserve">Sierra Leone</t>
  </si>
  <si>
    <t xml:space="preserve">Sierra Leone </t>
  </si>
  <si>
    <t xml:space="preserve">SL</t>
  </si>
  <si>
    <t xml:space="preserve">SLE</t>
  </si>
  <si>
    <t xml:space="preserve">Singapur</t>
  </si>
  <si>
    <t xml:space="preserve">Singapore </t>
  </si>
  <si>
    <t xml:space="preserve">SG</t>
  </si>
  <si>
    <t xml:space="preserve">SGD</t>
  </si>
  <si>
    <t xml:space="preserve">Slovakya</t>
  </si>
  <si>
    <t xml:space="preserve">Slovakia </t>
  </si>
  <si>
    <t xml:space="preserve">SK</t>
  </si>
  <si>
    <t xml:space="preserve">Slovenya</t>
  </si>
  <si>
    <t xml:space="preserve">Slovenia </t>
  </si>
  <si>
    <t xml:space="preserve">SI</t>
  </si>
  <si>
    <t xml:space="preserve">Solomon Adaları</t>
  </si>
  <si>
    <t xml:space="preserve">Solomon Islands </t>
  </si>
  <si>
    <t xml:space="preserve">SB</t>
  </si>
  <si>
    <t xml:space="preserve">SBD</t>
  </si>
  <si>
    <t xml:space="preserve">Somali</t>
  </si>
  <si>
    <t xml:space="preserve">Somalia </t>
  </si>
  <si>
    <t xml:space="preserve">SO</t>
  </si>
  <si>
    <t xml:space="preserve">SOS</t>
  </si>
  <si>
    <t xml:space="preserve">Güney Afrika</t>
  </si>
  <si>
    <t xml:space="preserve">South Africa</t>
  </si>
  <si>
    <t xml:space="preserve">ZA</t>
  </si>
  <si>
    <t xml:space="preserve">ZAR</t>
  </si>
  <si>
    <t xml:space="preserve">Güney Kore</t>
  </si>
  <si>
    <t xml:space="preserve">South Korea</t>
  </si>
  <si>
    <t xml:space="preserve">KR</t>
  </si>
  <si>
    <t xml:space="preserve">KRW</t>
  </si>
  <si>
    <t xml:space="preserve">KRW_000</t>
  </si>
  <si>
    <t xml:space="preserve">=GOOGLEFINANCE("CURRENCY:USDKRW")</t>
  </si>
  <si>
    <t xml:space="preserve">İspanya</t>
  </si>
  <si>
    <t xml:space="preserve">Spain</t>
  </si>
  <si>
    <t xml:space="preserve">ES</t>
  </si>
  <si>
    <t xml:space="preserve">Sri Lanka</t>
  </si>
  <si>
    <t xml:space="preserve">LK</t>
  </si>
  <si>
    <t xml:space="preserve">LKR</t>
  </si>
  <si>
    <t xml:space="preserve">Surinam</t>
  </si>
  <si>
    <t xml:space="preserve">Suriname</t>
  </si>
  <si>
    <t xml:space="preserve">SR</t>
  </si>
  <si>
    <t xml:space="preserve">SRD</t>
  </si>
  <si>
    <t xml:space="preserve">İsveç</t>
  </si>
  <si>
    <t xml:space="preserve">Sweden </t>
  </si>
  <si>
    <t xml:space="preserve">SE</t>
  </si>
  <si>
    <t xml:space="preserve">SEK</t>
  </si>
  <si>
    <t xml:space="preserve">İsviçre</t>
  </si>
  <si>
    <t xml:space="preserve">Switzerland </t>
  </si>
  <si>
    <t xml:space="preserve">CH</t>
  </si>
  <si>
    <t xml:space="preserve">CHE-CHF-CHW</t>
  </si>
  <si>
    <t xml:space="preserve">Tayvan</t>
  </si>
  <si>
    <t xml:space="preserve">Taiwan (Province of China) </t>
  </si>
  <si>
    <t xml:space="preserve">TW</t>
  </si>
  <si>
    <t xml:space="preserve">TWD</t>
  </si>
  <si>
    <t xml:space="preserve">Tacikistan</t>
  </si>
  <si>
    <t xml:space="preserve">Tajikistan </t>
  </si>
  <si>
    <t xml:space="preserve">TJ</t>
  </si>
  <si>
    <t xml:space="preserve">TJS</t>
  </si>
  <si>
    <t xml:space="preserve">Tanzanya</t>
  </si>
  <si>
    <t xml:space="preserve">Tanzania, United Republic of</t>
  </si>
  <si>
    <t xml:space="preserve">TZ</t>
  </si>
  <si>
    <t xml:space="preserve">TZS</t>
  </si>
  <si>
    <t xml:space="preserve">Tayland</t>
  </si>
  <si>
    <t xml:space="preserve">Thailand</t>
  </si>
  <si>
    <t xml:space="preserve">TH</t>
  </si>
  <si>
    <t xml:space="preserve">THB</t>
  </si>
  <si>
    <t xml:space="preserve">THB_00</t>
  </si>
  <si>
    <t xml:space="preserve">=GOOGLEFINANCE("CURRENCY:USDTHB")</t>
  </si>
  <si>
    <t xml:space="preserve">Togo</t>
  </si>
  <si>
    <t xml:space="preserve">TG</t>
  </si>
  <si>
    <t xml:space="preserve">Tonga</t>
  </si>
  <si>
    <t xml:space="preserve">TO</t>
  </si>
  <si>
    <t xml:space="preserve">TOP</t>
  </si>
  <si>
    <t xml:space="preserve">Trinidad ve Tobago</t>
  </si>
  <si>
    <t xml:space="preserve">Trinidad and Tobago </t>
  </si>
  <si>
    <t xml:space="preserve">TT</t>
  </si>
  <si>
    <t xml:space="preserve">TTD</t>
  </si>
  <si>
    <t xml:space="preserve">Tunus</t>
  </si>
  <si>
    <t xml:space="preserve">Tunisia </t>
  </si>
  <si>
    <t xml:space="preserve">TN</t>
  </si>
  <si>
    <t xml:space="preserve">TND</t>
  </si>
  <si>
    <t xml:space="preserve">Türkiye</t>
  </si>
  <si>
    <t xml:space="preserve">TR</t>
  </si>
  <si>
    <t xml:space="preserve">TRY</t>
  </si>
  <si>
    <t xml:space="preserve">TRY_TIERS</t>
  </si>
  <si>
    <t xml:space="preserve">=GOOGLEFINANCE("CURRENCY:USDTRY")</t>
  </si>
  <si>
    <t xml:space="preserve">Usually test 29/39/49</t>
  </si>
  <si>
    <t xml:space="preserve">Türkmenistan</t>
  </si>
  <si>
    <t xml:space="preserve">Turkmenistan </t>
  </si>
  <si>
    <t xml:space="preserve">TM</t>
  </si>
  <si>
    <t xml:space="preserve">TMT</t>
  </si>
  <si>
    <t xml:space="preserve">Turks ve Caicos Adaları</t>
  </si>
  <si>
    <t xml:space="preserve">Turks and Caicos Islands </t>
  </si>
  <si>
    <t xml:space="preserve">TC</t>
  </si>
  <si>
    <t xml:space="preserve">Uganda</t>
  </si>
  <si>
    <t xml:space="preserve">UG</t>
  </si>
  <si>
    <t xml:space="preserve">UGX</t>
  </si>
  <si>
    <t xml:space="preserve">Ukrayna</t>
  </si>
  <si>
    <t xml:space="preserve">Ukraine </t>
  </si>
  <si>
    <t xml:space="preserve">UA</t>
  </si>
  <si>
    <t xml:space="preserve">UAH</t>
  </si>
  <si>
    <t xml:space="preserve">Birleşik Arap Emirlikleri</t>
  </si>
  <si>
    <t xml:space="preserve">United Arab Emirates</t>
  </si>
  <si>
    <t xml:space="preserve">AE</t>
  </si>
  <si>
    <t xml:space="preserve">AED</t>
  </si>
  <si>
    <t xml:space="preserve">Birleşik Krallık</t>
  </si>
  <si>
    <t xml:space="preserve">United Kingdom</t>
  </si>
  <si>
    <t xml:space="preserve">GB</t>
  </si>
  <si>
    <t xml:space="preserve">GBP</t>
  </si>
  <si>
    <t xml:space="preserve">GBP_99</t>
  </si>
  <si>
    <t xml:space="preserve">=GOOGLEFINANCE("CURRENCY:USDGBP")</t>
  </si>
  <si>
    <t xml:space="preserve">Amerika Birleşik Devletleri</t>
  </si>
  <si>
    <t xml:space="preserve">United States</t>
  </si>
  <si>
    <t xml:space="preserve">US</t>
  </si>
  <si>
    <t xml:space="preserve">USD_99</t>
  </si>
  <si>
    <t xml:space="preserve">=GOOGLEFINANCE("CURRENCY:USDUSD")</t>
  </si>
  <si>
    <t xml:space="preserve">Reference market</t>
  </si>
  <si>
    <t xml:space="preserve">Uruguay</t>
  </si>
  <si>
    <t xml:space="preserve">UY</t>
  </si>
  <si>
    <t xml:space="preserve">UYU-UYI</t>
  </si>
  <si>
    <t xml:space="preserve">Özbekistan</t>
  </si>
  <si>
    <t xml:space="preserve">Uzbekistan </t>
  </si>
  <si>
    <t xml:space="preserve">UZ</t>
  </si>
  <si>
    <t xml:space="preserve">UZS</t>
  </si>
  <si>
    <t xml:space="preserve">Vanuatu</t>
  </si>
  <si>
    <t xml:space="preserve">Vanuatu </t>
  </si>
  <si>
    <t xml:space="preserve">VU</t>
  </si>
  <si>
    <t xml:space="preserve">VUV</t>
  </si>
  <si>
    <t xml:space="preserve">Vatikan</t>
  </si>
  <si>
    <t xml:space="preserve">Vatican City</t>
  </si>
  <si>
    <t xml:space="preserve">VA</t>
  </si>
  <si>
    <t xml:space="preserve">Venezuela</t>
  </si>
  <si>
    <t xml:space="preserve">Venezuela  </t>
  </si>
  <si>
    <t xml:space="preserve">VE</t>
  </si>
  <si>
    <t xml:space="preserve">VES-VEF-VED</t>
  </si>
  <si>
    <t xml:space="preserve">Vietnam</t>
  </si>
  <si>
    <t xml:space="preserve">VN</t>
  </si>
  <si>
    <t xml:space="preserve">VND</t>
  </si>
  <si>
    <t xml:space="preserve">VND_000</t>
  </si>
  <si>
    <t xml:space="preserve">=GOOGLEFINANCE("CURRENCY:USDVND")</t>
  </si>
  <si>
    <t xml:space="preserve">Britanya Virjin Adaları</t>
  </si>
  <si>
    <t xml:space="preserve">Virgin Islands (British) </t>
  </si>
  <si>
    <t xml:space="preserve">VG</t>
  </si>
  <si>
    <t xml:space="preserve">Yemen</t>
  </si>
  <si>
    <t xml:space="preserve">YE</t>
  </si>
  <si>
    <t xml:space="preserve">YER</t>
  </si>
  <si>
    <t xml:space="preserve">Zambiya</t>
  </si>
  <si>
    <t xml:space="preserve">Zambia </t>
  </si>
  <si>
    <t xml:space="preserve">ZM</t>
  </si>
  <si>
    <t xml:space="preserve">ZMW</t>
  </si>
  <si>
    <t xml:space="preserve">Zimbabve</t>
  </si>
  <si>
    <t xml:space="preserve">Zimbabwe </t>
  </si>
  <si>
    <t xml:space="preserve">ZW</t>
  </si>
  <si>
    <t xml:space="preserve">ZIG-ZWL</t>
  </si>
  <si>
    <t xml:space="preserve">Rounding Rules / Editable Playbook</t>
  </si>
  <si>
    <t xml:space="preserve">Group</t>
  </si>
  <si>
    <t xml:space="preserve">Logic</t>
  </si>
  <si>
    <t xml:space="preserve">Suggested Tiers</t>
  </si>
  <si>
    <t xml:space="preserve">Edit Note</t>
  </si>
  <si>
    <t xml:space="preserve">Round to x.99</t>
  </si>
  <si>
    <t xml:space="preserve">0.99 / 1.99 / 2.99 / 3.99 / 4.99</t>
  </si>
  <si>
    <t xml:space="preserve">Good for US-style pricing</t>
  </si>
  <si>
    <t xml:space="preserve">EU premium-friendly</t>
  </si>
  <si>
    <t xml:space="preserve">Fixed tier bucket</t>
  </si>
  <si>
    <t xml:space="preserve">19 / 29 / 39 / 49 / 79</t>
  </si>
  <si>
    <t xml:space="preserve">Test 29 vs 39 for conversion/revenue</t>
  </si>
  <si>
    <t xml:space="preserve">29 / 49 / 99</t>
  </si>
  <si>
    <t xml:space="preserve">Round to x.90</t>
  </si>
  <si>
    <t xml:space="preserve">2.90 / 4.90 / 6.90 / 9.90</t>
  </si>
  <si>
    <t xml:space="preserve">Nearest 1,000</t>
  </si>
  <si>
    <t xml:space="preserve">9,000 / 15,000 / 29,000</t>
  </si>
  <si>
    <t xml:space="preserve">Nearest 100</t>
  </si>
  <si>
    <t xml:space="preserve">100 / 200 / 300 / 500</t>
  </si>
  <si>
    <t xml:space="preserve">1,000 / 2,000 / 3,000 / 5,000</t>
  </si>
  <si>
    <t xml:space="preserve">10,000 / 20,000 / 30,000</t>
  </si>
  <si>
    <t xml:space="preserve">Source Notes / References</t>
  </si>
  <si>
    <t xml:space="preserve">Input</t>
  </si>
  <si>
    <t xml:space="preserve">Purpose</t>
  </si>
  <si>
    <t xml:space="preserve">Source / URL</t>
  </si>
  <si>
    <t xml:space="preserve">Refresh Cadence</t>
  </si>
  <si>
    <t xml:space="preserve">PPP factor</t>
  </si>
  <si>
    <t xml:space="preserve">Relative local affordability input</t>
  </si>
  <si>
    <t xml:space="preserve">https://data.worldbank.org/indicator/PA.NUS.PPP</t>
  </si>
  <si>
    <t xml:space="preserve">Quarterly or before price updates</t>
  </si>
  <si>
    <t xml:space="preserve">Template values are starter estimates; replace with your chosen normalized PPP factors.</t>
  </si>
  <si>
    <t xml:space="preserve">FX rate</t>
  </si>
  <si>
    <t xml:space="preserve">Convert USD to local currency</t>
  </si>
  <si>
    <t xml:space="preserve">https://www.google.com/finance/</t>
  </si>
  <si>
    <t xml:space="preserve">Before Play Console update</t>
  </si>
  <si>
    <t xml:space="preserve">In Google Sheets, use GOOGLEFINANCE formulas copied from PricingModel column N.</t>
  </si>
  <si>
    <t xml:space="preserve">Google Play pricing</t>
  </si>
  <si>
    <t xml:space="preserve">Check supported local prices and taxes</t>
  </si>
  <si>
    <t xml:space="preserve">https://support.google.com/googleplay/android-developer/</t>
  </si>
  <si>
    <t xml:space="preserve">Before launch and major updates</t>
  </si>
  <si>
    <t xml:space="preserve">Play Console final local prices may differ due to tax/minimum price constraints.</t>
  </si>
  <si>
    <t xml:space="preserve">Competitor pricing</t>
  </si>
  <si>
    <t xml:space="preserve">Market adjustment sanity check</t>
  </si>
  <si>
    <t xml:space="preserve">Manual Play Store research</t>
  </si>
  <si>
    <t xml:space="preserve">Before launch</t>
  </si>
  <si>
    <t xml:space="preserve">Use Market Adj column to shift price after checking similar apps.</t>
  </si>
  <si>
    <t xml:space="preserve">Date</t>
  </si>
  <si>
    <t xml:space="preserve">App</t>
  </si>
  <si>
    <t xml:space="preserve">Variant</t>
  </si>
  <si>
    <t xml:space="preserve">Price</t>
  </si>
  <si>
    <t xml:space="preserve">Impressions</t>
  </si>
  <si>
    <t xml:space="preserve">Purchases</t>
  </si>
  <si>
    <t xml:space="preserve">Conversion</t>
  </si>
  <si>
    <t xml:space="preserve">Revenue</t>
  </si>
  <si>
    <t xml:space="preserve">ARPU</t>
  </si>
  <si>
    <t xml:space="preserve">Winner Note</t>
  </si>
  <si>
    <t xml:space="preserve">BLE Scanner</t>
  </si>
  <si>
    <t xml:space="preserve">Secure Vault</t>
  </si>
  <si>
    <t xml:space="preserve">A/B Price Testing Dashboard</t>
  </si>
  <si>
    <t xml:space="preserve">Total Impressions</t>
  </si>
  <si>
    <t xml:space="preserve">Total Purchases</t>
  </si>
  <si>
    <t xml:space="preserve">1) Add weekly price tests in AB_TEST.</t>
  </si>
  <si>
    <t xml:space="preserve">Total Revenue</t>
  </si>
  <si>
    <t xml:space="preserve">2) Keep each test country/app split clean: A vs B.</t>
  </si>
  <si>
    <t xml:space="preserve">Avg Conversion</t>
  </si>
  <si>
    <t xml:space="preserve">3) Judge by Revenue first, then Conversion.</t>
  </si>
  <si>
    <t xml:space="preserve">Avg ARPU</t>
  </si>
  <si>
    <t xml:space="preserve">4) Run each variant at least 7 days if possible.</t>
  </si>
  <si>
    <t xml:space="preserve">Best Variant by Revenue</t>
  </si>
  <si>
    <t xml:space="preserve">5) After winner is clear, update Play Store pricing.</t>
  </si>
  <si>
    <t xml:space="preserve">Variant Summary</t>
  </si>
  <si>
    <t xml:space="preserve">Revenue Share</t>
  </si>
  <si>
    <t xml:space="preserve">Decision</t>
  </si>
  <si>
    <t xml:space="preserve">Country / App Breakdown</t>
  </si>
  <si>
    <t xml:space="preserve">AB Price Testing Setup</t>
  </si>
  <si>
    <t xml:space="preserve">Editable fields</t>
  </si>
  <si>
    <t xml:space="preserve">Meaning</t>
  </si>
  <si>
    <t xml:space="preserve">Example</t>
  </si>
  <si>
    <t xml:space="preserve">Which app / SKU you are testing</t>
  </si>
  <si>
    <t xml:space="preserve">Use same naming in AB_TEST</t>
  </si>
  <si>
    <t xml:space="preserve">Play Store country code</t>
  </si>
  <si>
    <t xml:space="preserve">TR, US, IN, BR etc.</t>
  </si>
  <si>
    <t xml:space="preserve">Price variant label</t>
  </si>
  <si>
    <t xml:space="preserve">A / B</t>
  </si>
  <si>
    <t xml:space="preserve">A = higher price, B = lower price recommended</t>
  </si>
  <si>
    <t xml:space="preserve">Paywall / purchase screen views</t>
  </si>
  <si>
    <t xml:space="preserve">Use Play Console / analytics</t>
  </si>
  <si>
    <t xml:space="preserve">Completed purchases</t>
  </si>
  <si>
    <t xml:space="preserve">Use Play Console order data</t>
  </si>
  <si>
    <t xml:space="preserve">Auto calculated</t>
  </si>
  <si>
    <t xml:space="preserve">Price × Purchases</t>
  </si>
  <si>
    <t xml:space="preserve">Purchases ÷ Impressions</t>
  </si>
  <si>
    <t xml:space="preserve">Decision metric</t>
  </si>
  <si>
    <t xml:space="preserve">Primary winner metric</t>
  </si>
  <si>
    <t xml:space="preserve">Conversion alone is not enough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</si>
</sst>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[$-409]General"/>
    <numFmt numFmtId="167" formatCode="@"/>
    <numFmt numFmtId="168" formatCode="yyyy\-mm\-dd"/>
    <numFmt numFmtId="169" formatCode="0"/>
    <numFmt numFmtId="170" formatCode="0.00%"/>
    <numFmt numFmtId="171" formatCode="0.0000"/>
  </numFmts>
  <fonts count="16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11827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"/>
      <name val="Arial"/>
      <family val="2"/>
      <charset val="1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sz val="10"/>
      <name val="Aptos"/>
      <family val="0"/>
      <charset val="1"/>
    </font>
    <font>
      <b val="true"/>
      <sz val="16"/>
      <color rgb="FFFFFFFF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1E293B"/>
        <bgColor rgb="FF111827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0F766E"/>
        <bgColor rgb="FF156082"/>
      </patternFill>
    </fill>
    <fill>
      <patternFill patternType="solid">
        <fgColor rgb="FFF8FAFC"/>
        <bgColor rgb="FFFFFFFF"/>
      </patternFill>
    </fill>
    <fill>
      <patternFill patternType="solid">
        <fgColor rgb="FF22D3EE"/>
        <bgColor rgb="FF00CCFF"/>
      </patternFill>
    </fill>
    <fill>
      <patternFill patternType="solid">
        <fgColor rgb="FFE0F2FE"/>
        <bgColor rgb="FFDCFCE7"/>
      </patternFill>
    </fill>
    <fill>
      <patternFill patternType="solid">
        <fgColor rgb="FF334155"/>
        <bgColor rgb="FF1E293B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8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1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7F9DD"/>
          <bgColor rgb="FF000000"/>
        </patternFill>
      </fill>
    </dxf>
    <dxf>
      <fill>
        <patternFill patternType="solid">
          <fgColor rgb="FFE8F8DC"/>
          <bgColor rgb="FF000000"/>
        </patternFill>
      </fill>
    </dxf>
    <dxf>
      <fill>
        <patternFill patternType="solid">
          <fgColor rgb="FFEDF7D7"/>
          <bgColor rgb="FF000000"/>
        </patternFill>
      </fill>
    </dxf>
    <dxf>
      <fill>
        <patternFill patternType="solid">
          <fgColor rgb="FFF1F6D3"/>
          <bgColor rgb="FF000000"/>
        </patternFill>
      </fill>
    </dxf>
    <dxf>
      <fill>
        <patternFill patternType="solid">
          <fgColor rgb="FFFBF3C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E3E1"/>
          <bgColor rgb="FF000000"/>
        </patternFill>
      </fill>
    </dxf>
    <dxf>
      <fill>
        <patternFill patternType="solid">
          <fgColor rgb="FFFEE5DD"/>
          <bgColor rgb="FF000000"/>
        </patternFill>
      </fill>
    </dxf>
    <dxf>
      <fill>
        <patternFill patternType="solid">
          <fgColor rgb="FFFEE9D7"/>
          <bgColor rgb="FF000000"/>
        </patternFill>
      </fill>
    </dxf>
    <dxf>
      <fill>
        <patternFill patternType="solid">
          <fgColor rgb="FFFEEBD4"/>
          <bgColor rgb="FF000000"/>
        </patternFill>
      </fill>
    </dxf>
    <dxf>
      <fill>
        <patternFill patternType="solid">
          <fgColor rgb="FFFEEDD0"/>
          <bgColor rgb="FF000000"/>
        </patternFill>
      </fill>
    </dxf>
    <dxf>
      <fill>
        <patternFill patternType="solid">
          <fgColor rgb="FFFEF0CC"/>
          <bgColor rgb="FF000000"/>
        </patternFill>
      </fill>
    </dxf>
    <dxf>
      <fill>
        <patternFill patternType="solid">
          <fgColor rgb="FF22D3E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b val="1"/>
        <color rgb="FF991B1B"/>
      </font>
      <fill>
        <patternFill>
          <bgColor rgb="FFFEE2E2"/>
        </patternFill>
      </fill>
    </dxf>
    <dxf>
      <fill>
        <patternFill patternType="solid">
          <fgColor rgb="FF166534"/>
          <bgColor rgb="FF000000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CCFB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CFCE7"/>
      <rgbColor rgb="FFE0F2FE"/>
      <rgbColor rgb="FFF8FAFC"/>
      <rgbColor rgb="FF99CCFF"/>
      <rgbColor rgb="FFFF99CC"/>
      <rgbColor rgb="FFCC99FF"/>
      <rgbColor rgb="FFFEE2E2"/>
      <rgbColor rgb="FF3366FF"/>
      <rgbColor rgb="FF22D3EE"/>
      <rgbColor rgb="FF99CC00"/>
      <rgbColor rgb="FFFFCC00"/>
      <rgbColor rgb="FFFF9900"/>
      <rgbColor rgb="FFFF6600"/>
      <rgbColor rgb="FF666699"/>
      <rgbColor rgb="FF969696"/>
      <rgbColor rgb="FF0F172A"/>
      <rgbColor rgb="FF339966"/>
      <rgbColor rgb="FF111827"/>
      <rgbColor rgb="FF333300"/>
      <rgbColor rgb="FF991B1B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AB_Dashboard!$A$13:$A$14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AB_Dashboard!$E$13:$E$14</c:f>
              <c:numCache>
                <c:formatCode>0.00</c:formatCode>
                <c:ptCount val="2"/>
                <c:pt idx="0">
                  <c:v>8282</c:v>
                </c:pt>
                <c:pt idx="1">
                  <c:v>9045.8</c:v>
                </c:pt>
              </c:numCache>
            </c:numRef>
          </c:val>
        </c:ser>
        <c:gapWidth val="150"/>
        <c:overlap val="0"/>
        <c:axId val="38857964"/>
        <c:axId val="6727386"/>
      </c:barChart>
      <c:catAx>
        <c:axId val="3885796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727386"/>
        <c:crosses val="autoZero"/>
        <c:auto val="1"/>
        <c:lblAlgn val="ctr"/>
        <c:lblOffset val="100"/>
        <c:noMultiLvlLbl val="0"/>
      </c:catAx>
      <c:valAx>
        <c:axId val="672738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8857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"Conversion"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AB_Dashboard!$A$13:$A$14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AB_Dashboard!$D$13:$D$14</c:f>
              <c:numCache>
                <c:formatCode>0.00%</c:formatCode>
                <c:ptCount val="2"/>
                <c:pt idx="0">
                  <c:v>0.0372623574144487</c:v>
                </c:pt>
                <c:pt idx="1">
                  <c:v>0.0553082191780822</c:v>
                </c:pt>
              </c:numCache>
            </c:numRef>
          </c:val>
        </c:ser>
        <c:gapWidth val="150"/>
        <c:overlap val="0"/>
        <c:axId val="19107813"/>
        <c:axId val="95991387"/>
      </c:barChart>
      <c:catAx>
        <c:axId val="1910781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5991387"/>
        <c:crosses val="autoZero"/>
        <c:auto val="1"/>
        <c:lblAlgn val="ctr"/>
        <c:lblOffset val="100"/>
        <c:noMultiLvlLbl val="0"/>
      </c:catAx>
      <c:valAx>
        <c:axId val="9599138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91078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16</xdr:col>
      <xdr:colOff>595440</xdr:colOff>
      <xdr:row>16</xdr:row>
      <xdr:rowOff>190080</xdr:rowOff>
    </xdr:to>
    <xdr:graphicFrame>
      <xdr:nvGraphicFramePr>
        <xdr:cNvPr id="1" name="Chart"/>
        <xdr:cNvGraphicFramePr/>
      </xdr:nvGraphicFramePr>
      <xdr:xfrm>
        <a:off x="10837440" y="440640"/>
        <a:ext cx="4764960" cy="433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16</xdr:col>
      <xdr:colOff>595440</xdr:colOff>
      <xdr:row>32</xdr:row>
      <xdr:rowOff>190440</xdr:rowOff>
    </xdr:to>
    <xdr:graphicFrame>
      <xdr:nvGraphicFramePr>
        <xdr:cNvPr id="2" name="Chart"/>
        <xdr:cNvGraphicFramePr/>
      </xdr:nvGraphicFramePr>
      <xdr:xfrm>
        <a:off x="10837440" y="4961880"/>
        <a:ext cx="4764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BTestTable" displayName="ABTestTable" ref="A1:L200" headerRowCount="1" totalsRowCount="0" totalsRowShown="0">
  <tableColumns count="12">
    <tableColumn id="1" name="Date"/>
    <tableColumn id="2" name="App"/>
    <tableColumn id="3" name="Country"/>
    <tableColumn id="4" name="Variant"/>
    <tableColumn id="5" name="Price"/>
    <tableColumn id="6" name="Currency"/>
    <tableColumn id="7" name="Impressions"/>
    <tableColumn id="8" name="Purchases"/>
    <tableColumn id="9" name="Conversion"/>
    <tableColumn id="10" name="Revenue"/>
    <tableColumn id="11" name="ARPU"/>
    <tableColumn id="12" name="Winner Note"/>
  </tableColumns>
</table>
</file>

<file path=xl/tables/table2.xml><?xml version="1.0" encoding="utf-8"?>
<table xmlns="http://schemas.openxmlformats.org/spreadsheetml/2006/main" id="2" name="BreakdownTable" displayName="BreakdownTable" ref="A19:H27" headerRowCount="1" totalsRowCount="0" totalsRowShown="0">
  <tableColumns count="8">
    <tableColumn id="1" name="App"/>
    <tableColumn id="2" name="Country"/>
    <tableColumn id="3" name="Variant"/>
    <tableColumn id="4" name="Impressions"/>
    <tableColumn id="5" name="Purchases"/>
    <tableColumn id="6" name="Conversion"/>
    <tableColumn id="7" name="Revenue"/>
    <tableColumn id="8" name="ARPU"/>
  </tableColumns>
</table>
</file>

<file path=xl/tables/table3.xml><?xml version="1.0" encoding="utf-8"?>
<table xmlns="http://schemas.openxmlformats.org/spreadsheetml/2006/main" id="3" name="PricingModelTable" displayName="PricingModelTable" ref="B1:Q170" headerRowCount="1" totalsRowCount="0" totalsRowShown="0">
  <tableColumns count="16">
    <tableColumn id="1" name="Country"/>
    <tableColumn id="2" name="Country Code"/>
    <tableColumn id="3" name="Currency"/>
    <tableColumn id="4" name="PPP Factor"/>
    <tableColumn id="5" name="Tier"/>
    <tableColumn id="6" name="Base USD"/>
    <tableColumn id="7" name="PPP Price USD"/>
    <tableColumn id="8" name="Market Adj"/>
    <tableColumn id="9" name="FX USD→Local"/>
    <tableColumn id="10" name="Raw Local Price"/>
    <tableColumn id="11" name="Rounding Group"/>
    <tableColumn id="12" name="Final Rounded Local"/>
    <tableColumn id="13" name="Final USD Approx"/>
    <tableColumn id="14" name="Recommended Action"/>
    <tableColumn id="15" name="FX Formula for Google Sheets"/>
    <tableColumn id="16" name="Notes"/>
  </tableColumns>
</table>
</file>

<file path=xl/tables/table4.xml><?xml version="1.0" encoding="utf-8"?>
<table xmlns="http://schemas.openxmlformats.org/spreadsheetml/2006/main" id="4" name="RoundingRulesTable" displayName="RoundingRulesTable" ref="A3:E12" headerRowCount="1" totalsRowCount="0" totalsRowShown="0">
  <tableColumns count="5">
    <tableColumn id="1" name="Group"/>
    <tableColumn id="2" name="Currency"/>
    <tableColumn id="3" name="Logic"/>
    <tableColumn id="4" name="Suggested Tiers"/>
    <tableColumn id="5" name="Edit Note"/>
  </tableColumns>
</table>
</file>

<file path=xl/tables/table5.xml><?xml version="1.0" encoding="utf-8"?>
<table xmlns="http://schemas.openxmlformats.org/spreadsheetml/2006/main" id="5" name="SourceNotesTable" displayName="SourceNotesTable" ref="A3:E7" headerRowCount="1" totalsRowCount="0" totalsRowShown="0">
  <tableColumns count="5">
    <tableColumn id="1" name="Input"/>
    <tableColumn id="2" name="Purpose"/>
    <tableColumn id="3" name="Source / URL"/>
    <tableColumn id="4" name="Refresh Cadence"/>
    <tableColumn id="5" name="Notes"/>
  </tableColumns>
</table>
</file>

<file path=xl/tables/table6.xml><?xml version="1.0" encoding="utf-8"?>
<table xmlns="http://schemas.openxmlformats.org/spreadsheetml/2006/main" id="6" name="VariantSummaryTable" displayName="VariantSummaryTable" ref="A12:H14" headerRowCount="1" totalsRowCount="0" totalsRowShown="0">
  <tableColumns count="8">
    <tableColumn id="1" name="Variant"/>
    <tableColumn id="2" name="Impressions"/>
    <tableColumn id="3" name="Purchases"/>
    <tableColumn id="4" name="Conversion"/>
    <tableColumn id="5" name="Revenue"/>
    <tableColumn id="6" name="ARPU"/>
    <tableColumn id="7" name="Revenue Share"/>
    <tableColumn id="8" name="Decisio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4" activeCellId="1" sqref="58:58 B4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1.59"/>
    <col collapsed="false" customWidth="true" hidden="false" outlineLevel="0" max="4" min="4" style="0" width="33.02"/>
    <col collapsed="false" customWidth="true" hidden="false" outlineLevel="0" max="1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1</v>
      </c>
    </row>
    <row r="4" customFormat="false" ht="15" hidden="false" customHeight="false" outlineLevel="0" collapsed="false">
      <c r="A4" s="2" t="s">
        <v>2</v>
      </c>
      <c r="B4" s="3" t="n">
        <v>0.49</v>
      </c>
    </row>
    <row r="5" customFormat="false" ht="15" hidden="false" customHeight="false" outlineLevel="0" collapsed="false">
      <c r="A5" s="2" t="s">
        <v>3</v>
      </c>
      <c r="B5" s="3" t="n">
        <v>1.99</v>
      </c>
    </row>
    <row r="6" customFormat="false" ht="15" hidden="false" customHeight="false" outlineLevel="0" collapsed="false">
      <c r="A6" s="2" t="s">
        <v>4</v>
      </c>
      <c r="B6" s="4" t="n">
        <v>1</v>
      </c>
    </row>
    <row r="7" customFormat="false" ht="15" hidden="false" customHeight="false" outlineLevel="0" collapsed="false">
      <c r="A7" s="2" t="s">
        <v>5</v>
      </c>
      <c r="B7" s="4" t="s">
        <v>6</v>
      </c>
    </row>
    <row r="8" customFormat="false" ht="15" hidden="false" customHeight="false" outlineLevel="0" collapsed="false">
      <c r="A8" s="2" t="s">
        <v>7</v>
      </c>
      <c r="B8" s="4" t="s">
        <v>8</v>
      </c>
    </row>
    <row r="9" customFormat="false" ht="15" hidden="false" customHeight="false" outlineLevel="0" collapsed="false">
      <c r="A9" s="2" t="s">
        <v>9</v>
      </c>
      <c r="B9" s="4" t="s">
        <v>10</v>
      </c>
    </row>
    <row r="10" customFormat="false" ht="15" hidden="false" customHeight="false" outlineLevel="0" collapsed="false">
      <c r="A10" s="2" t="s">
        <v>11</v>
      </c>
      <c r="B10" s="4" t="s">
        <v>12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/>
      <c r="G12" s="5"/>
      <c r="H12" s="5"/>
    </row>
    <row r="14" customFormat="false" ht="15" hidden="false" customHeight="false" outlineLevel="0" collapsed="false">
      <c r="A14" s="6" t="s">
        <v>18</v>
      </c>
      <c r="B14" s="6" t="s">
        <v>19</v>
      </c>
      <c r="C14" s="6" t="s">
        <v>20</v>
      </c>
      <c r="D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  <c r="D15" s="7" t="s">
        <v>25</v>
      </c>
    </row>
    <row r="16" customFormat="false" ht="15" hidden="false" customHeight="false" outlineLevel="0" collapsed="false">
      <c r="A16" s="7" t="s">
        <v>26</v>
      </c>
      <c r="B16" s="7" t="s">
        <v>27</v>
      </c>
      <c r="C16" s="7" t="s">
        <v>28</v>
      </c>
      <c r="D16" s="7" t="s">
        <v>29</v>
      </c>
    </row>
    <row r="17" customFormat="false" ht="15" hidden="false" customHeight="false" outlineLevel="0" collapsed="false">
      <c r="A17" s="7" t="s">
        <v>30</v>
      </c>
      <c r="B17" s="7" t="s">
        <v>31</v>
      </c>
      <c r="C17" s="7" t="s">
        <v>32</v>
      </c>
      <c r="D17" s="7" t="s">
        <v>33</v>
      </c>
    </row>
    <row r="18" customFormat="false" ht="15" hidden="false" customHeight="false" outlineLevel="0" collapsed="false">
      <c r="A18" s="7" t="s">
        <v>34</v>
      </c>
      <c r="B18" s="7" t="s">
        <v>35</v>
      </c>
      <c r="C18" s="7" t="s">
        <v>36</v>
      </c>
      <c r="D18" s="7" t="s">
        <v>37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4"/>
  <sheetViews>
    <sheetView showFormulas="false" showGridLines="true" showRowColHeaders="true" showZeros="true" rightToLeft="false" tabSelected="true" showOutlineSymbols="true" defaultGridColor="true" view="normal" topLeftCell="C40" colorId="64" zoomScale="90" zoomScaleNormal="90" zoomScalePageLayoutView="100" workbookViewId="0">
      <selection pane="topLeft" activeCell="A58" activeCellId="0" sqref="58:58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8" min="3" style="0" width="16"/>
    <col collapsed="false" customWidth="true" hidden="false" outlineLevel="0" max="10" min="9" style="8" width="16"/>
    <col collapsed="false" customWidth="true" hidden="false" outlineLevel="0" max="15" min="11" style="0" width="16"/>
    <col collapsed="false" customWidth="true" hidden="false" outlineLevel="0" max="17" min="16" style="0" width="30"/>
  </cols>
  <sheetData>
    <row r="1" customFormat="false" ht="25" hidden="false" customHeight="false" outlineLevel="0" collapsed="false">
      <c r="B1" s="9" t="s">
        <v>38</v>
      </c>
      <c r="C1" s="9" t="s">
        <v>39</v>
      </c>
      <c r="D1" s="9" t="s">
        <v>40</v>
      </c>
      <c r="E1" s="9" t="s">
        <v>41</v>
      </c>
      <c r="F1" s="9" t="s">
        <v>18</v>
      </c>
      <c r="G1" s="9" t="s">
        <v>42</v>
      </c>
      <c r="H1" s="9" t="s">
        <v>43</v>
      </c>
      <c r="I1" s="9" t="s">
        <v>44</v>
      </c>
      <c r="J1" s="9" t="s">
        <v>45</v>
      </c>
      <c r="K1" s="9" t="s">
        <v>46</v>
      </c>
      <c r="L1" s="9" t="s">
        <v>47</v>
      </c>
      <c r="M1" s="9" t="s">
        <v>48</v>
      </c>
      <c r="N1" s="9" t="s">
        <v>49</v>
      </c>
      <c r="O1" s="9" t="s">
        <v>50</v>
      </c>
      <c r="P1" s="9" t="s">
        <v>51</v>
      </c>
      <c r="Q1" s="9" t="s">
        <v>9</v>
      </c>
    </row>
    <row r="2" customFormat="false" ht="25" hidden="false" customHeight="false" outlineLevel="0" collapsed="false">
      <c r="A2" s="10" t="s">
        <v>52</v>
      </c>
      <c r="B2" s="11" t="s">
        <v>53</v>
      </c>
      <c r="C2" s="10" t="s">
        <v>54</v>
      </c>
      <c r="D2" s="10" t="s">
        <v>55</v>
      </c>
      <c r="E2" s="12" t="s">
        <v>56</v>
      </c>
      <c r="F2" s="10" t="s">
        <v>57</v>
      </c>
      <c r="G2" s="13" t="n">
        <f aca="false">Dashboard!$B$3</f>
        <v>1</v>
      </c>
      <c r="H2" s="13" t="n">
        <f aca="false">MAX(Dashboard!$B$4,G2*E2)</f>
        <v>0.49</v>
      </c>
      <c r="I2" s="13" t="n">
        <v>1</v>
      </c>
      <c r="J2" s="13"/>
      <c r="K2" s="13"/>
      <c r="L2" s="14"/>
      <c r="M2" s="13"/>
      <c r="N2" s="13"/>
      <c r="O2" s="14"/>
      <c r="P2" s="15" t="s">
        <v>58</v>
      </c>
      <c r="Q2" s="14"/>
    </row>
    <row r="3" customFormat="false" ht="15" hidden="false" customHeight="false" outlineLevel="0" collapsed="false">
      <c r="A3" s="10" t="s">
        <v>59</v>
      </c>
      <c r="B3" s="11" t="s">
        <v>60</v>
      </c>
      <c r="C3" s="10" t="s">
        <v>61</v>
      </c>
      <c r="D3" s="10" t="s">
        <v>62</v>
      </c>
      <c r="E3" s="10" t="n">
        <v>0.28</v>
      </c>
      <c r="F3" s="10" t="s">
        <v>57</v>
      </c>
      <c r="G3" s="13" t="n">
        <f aca="false">Dashboard!$B$3</f>
        <v>1</v>
      </c>
      <c r="H3" s="13" t="n">
        <f aca="false">MAX(Dashboard!$B$4,G3*E3)</f>
        <v>0.49</v>
      </c>
      <c r="I3" s="13" t="n">
        <v>1</v>
      </c>
      <c r="J3" s="13"/>
      <c r="K3" s="13"/>
      <c r="L3" s="14"/>
      <c r="M3" s="13"/>
      <c r="N3" s="13"/>
      <c r="O3" s="14"/>
      <c r="P3" s="15"/>
      <c r="Q3" s="14"/>
    </row>
    <row r="4" customFormat="false" ht="15" hidden="false" customHeight="false" outlineLevel="0" collapsed="false">
      <c r="A4" s="10" t="s">
        <v>63</v>
      </c>
      <c r="B4" s="11" t="s">
        <v>63</v>
      </c>
      <c r="C4" s="10" t="s">
        <v>64</v>
      </c>
      <c r="D4" s="10" t="s">
        <v>65</v>
      </c>
      <c r="E4" s="10" t="n">
        <v>0.22</v>
      </c>
      <c r="F4" s="10" t="s">
        <v>66</v>
      </c>
      <c r="G4" s="13" t="n">
        <f aca="false">Dashboard!$B$3</f>
        <v>1</v>
      </c>
      <c r="H4" s="13" t="n">
        <f aca="false">MAX(Dashboard!$B$4,G4*E4)</f>
        <v>0.49</v>
      </c>
      <c r="I4" s="13" t="n">
        <v>1</v>
      </c>
      <c r="J4" s="13"/>
      <c r="K4" s="13"/>
      <c r="L4" s="14"/>
      <c r="M4" s="13"/>
      <c r="N4" s="13"/>
      <c r="O4" s="14"/>
      <c r="P4" s="15"/>
      <c r="Q4" s="14"/>
    </row>
    <row r="5" customFormat="false" ht="15" hidden="false" customHeight="false" outlineLevel="0" collapsed="false">
      <c r="A5" s="10" t="s">
        <v>67</v>
      </c>
      <c r="B5" s="11" t="s">
        <v>68</v>
      </c>
      <c r="C5" s="10" t="s">
        <v>69</v>
      </c>
      <c r="D5" s="10" t="s">
        <v>70</v>
      </c>
      <c r="E5" s="10" t="n">
        <v>0.65</v>
      </c>
      <c r="F5" s="10" t="s">
        <v>26</v>
      </c>
      <c r="G5" s="13" t="n">
        <f aca="false">Dashboard!$B$3</f>
        <v>1</v>
      </c>
      <c r="H5" s="13" t="n">
        <f aca="false">MAX(Dashboard!$B$4,G5*E5)</f>
        <v>0.65</v>
      </c>
      <c r="I5" s="13" t="n">
        <v>1</v>
      </c>
      <c r="J5" s="13"/>
      <c r="K5" s="13"/>
      <c r="L5" s="14"/>
      <c r="M5" s="13"/>
      <c r="N5" s="13"/>
      <c r="O5" s="14"/>
      <c r="P5" s="15"/>
      <c r="Q5" s="14"/>
    </row>
    <row r="6" customFormat="false" ht="15" hidden="false" customHeight="false" outlineLevel="0" collapsed="false">
      <c r="A6" s="10" t="s">
        <v>71</v>
      </c>
      <c r="B6" s="11" t="s">
        <v>72</v>
      </c>
      <c r="C6" s="10" t="s">
        <v>73</v>
      </c>
      <c r="D6" s="10" t="s">
        <v>74</v>
      </c>
      <c r="E6" s="10" t="n">
        <v>0.3</v>
      </c>
      <c r="F6" s="10" t="s">
        <v>57</v>
      </c>
      <c r="G6" s="13" t="n">
        <f aca="false">Dashboard!$B$3</f>
        <v>1</v>
      </c>
      <c r="H6" s="13" t="n">
        <f aca="false">MAX(Dashboard!$B$4,G6*E6)</f>
        <v>0.49</v>
      </c>
      <c r="I6" s="13" t="n">
        <v>1</v>
      </c>
      <c r="J6" s="13"/>
      <c r="K6" s="13"/>
      <c r="L6" s="14"/>
      <c r="M6" s="13"/>
      <c r="N6" s="13"/>
      <c r="O6" s="14"/>
      <c r="P6" s="15"/>
      <c r="Q6" s="14"/>
    </row>
    <row r="7" customFormat="false" ht="15" hidden="false" customHeight="false" outlineLevel="0" collapsed="false">
      <c r="A7" s="10" t="s">
        <v>75</v>
      </c>
      <c r="B7" s="11" t="s">
        <v>76</v>
      </c>
      <c r="C7" s="10" t="s">
        <v>77</v>
      </c>
      <c r="D7" s="10" t="s">
        <v>78</v>
      </c>
      <c r="E7" s="10" t="n">
        <v>0.3</v>
      </c>
      <c r="F7" s="10" t="s">
        <v>57</v>
      </c>
      <c r="G7" s="13" t="n">
        <f aca="false">Dashboard!$B$3</f>
        <v>1</v>
      </c>
      <c r="H7" s="13" t="n">
        <f aca="false">MAX(Dashboard!$B$4,G7*E7)</f>
        <v>0.49</v>
      </c>
      <c r="I7" s="13" t="n">
        <v>1</v>
      </c>
      <c r="J7" s="13"/>
      <c r="K7" s="13"/>
      <c r="L7" s="14"/>
      <c r="M7" s="13"/>
      <c r="N7" s="13"/>
      <c r="O7" s="14"/>
      <c r="P7" s="15"/>
      <c r="Q7" s="14"/>
    </row>
    <row r="8" customFormat="false" ht="15" hidden="false" customHeight="false" outlineLevel="0" collapsed="false">
      <c r="A8" s="10" t="s">
        <v>79</v>
      </c>
      <c r="B8" s="11" t="s">
        <v>79</v>
      </c>
      <c r="C8" s="10" t="s">
        <v>80</v>
      </c>
      <c r="D8" s="10" t="s">
        <v>81</v>
      </c>
      <c r="E8" s="10" t="n">
        <v>0.75</v>
      </c>
      <c r="F8" s="10" t="s">
        <v>26</v>
      </c>
      <c r="G8" s="13" t="n">
        <f aca="false">Dashboard!$B$3</f>
        <v>1</v>
      </c>
      <c r="H8" s="13" t="n">
        <f aca="false">MAX(Dashboard!$B$4,G8*E8)</f>
        <v>0.75</v>
      </c>
      <c r="I8" s="13" t="n">
        <v>1</v>
      </c>
      <c r="J8" s="13"/>
      <c r="K8" s="13"/>
      <c r="L8" s="14"/>
      <c r="M8" s="13"/>
      <c r="N8" s="13"/>
      <c r="O8" s="14"/>
      <c r="P8" s="15"/>
      <c r="Q8" s="14"/>
    </row>
    <row r="9" customFormat="false" ht="25" hidden="false" customHeight="false" outlineLevel="0" collapsed="false">
      <c r="A9" s="10" t="s">
        <v>82</v>
      </c>
      <c r="B9" s="14" t="s">
        <v>83</v>
      </c>
      <c r="C9" s="10" t="s">
        <v>84</v>
      </c>
      <c r="D9" s="14" t="s">
        <v>85</v>
      </c>
      <c r="E9" s="16" t="n">
        <v>0.82</v>
      </c>
      <c r="F9" s="14" t="str">
        <f aca="false">IF(E9&gt;=0.8,"A",IF(E9&gt;=0.6,"B",IF(E9&gt;=0.4,"C",IF(E9&gt;=0.2,"D","E"))))</f>
        <v>A</v>
      </c>
      <c r="G9" s="13" t="n">
        <f aca="false">Dashboard!$B$3</f>
        <v>1</v>
      </c>
      <c r="H9" s="13" t="n">
        <f aca="false">MAX(Dashboard!$B$4,G9*E9)</f>
        <v>0.82</v>
      </c>
      <c r="I9" s="13" t="n">
        <v>1</v>
      </c>
      <c r="J9" s="13" t="n">
        <v>1.5</v>
      </c>
      <c r="K9" s="13" t="n">
        <f aca="false">H9*I9*J9</f>
        <v>1.23</v>
      </c>
      <c r="L9" s="14" t="s">
        <v>86</v>
      </c>
      <c r="M9" s="13" t="n">
        <f aca="false">IF(L9="TRY_TIERS",IF(K9&lt;25,19,IF(K9&lt;35,29,IF(K9&lt;45,39,IF(K9&lt;60,49,79)))),
IF(L9="INR_TIERS",IF(K9&lt;40,29,IF(K9&lt;70,49,99)),
IF(L9="BRL_90",IF(K9&lt;3,2.9,IF(K9&lt;6,4.9,IF(K9&lt;10,6.9,9.9))),
IF(L9="IDR_000",ROUND(K9/1000,0)*1000,
IF(L9="JPY_00",ROUND(K9/100,0)*100,
IF(L9="KRW_000",ROUND(K9/1000,0)*1000,
IF(L9="VND_000",ROUND(K9/1000,0)*1000,
IF(OR(L9="USD_99",L9="EUR_99",L9="GBP_99",L9="CAD_99",L9="AUD_99",L9="PLN_99"),MAX(0.49,ROUND(K9,0)-0.01),
IF(L9="MXN_00",ROUND(K9,0),IF(L9="THB_00",ROUND(K9,0),ROUND(K9,2)))))))))))</f>
        <v>0.99</v>
      </c>
      <c r="N9" s="13" t="n">
        <f aca="false">M9/J9</f>
        <v>0.66</v>
      </c>
      <c r="O9" s="14" t="str">
        <f aca="false">IF(N9&lt;Dashboard!$B$4,"Below global min",IF(AND(E9&gt;=0.8,N9&lt;Dashboard!$B$5),"Raise high-PPP floor","OK"))</f>
        <v>Raise high-PPP floor</v>
      </c>
      <c r="P9" s="15" t="s">
        <v>87</v>
      </c>
      <c r="Q9" s="14"/>
    </row>
    <row r="10" customFormat="false" ht="15" hidden="false" customHeight="false" outlineLevel="0" collapsed="false">
      <c r="A10" s="10" t="s">
        <v>88</v>
      </c>
      <c r="B10" s="11" t="s">
        <v>89</v>
      </c>
      <c r="C10" s="10" t="s">
        <v>90</v>
      </c>
      <c r="D10" s="10" t="s">
        <v>91</v>
      </c>
      <c r="E10" s="10" t="n">
        <v>0.86</v>
      </c>
      <c r="F10" s="10" t="s">
        <v>22</v>
      </c>
      <c r="G10" s="13" t="n">
        <f aca="false">Dashboard!$B$3</f>
        <v>1</v>
      </c>
      <c r="H10" s="13" t="n">
        <f aca="false">MAX(Dashboard!$B$4,G10*E10)</f>
        <v>0.86</v>
      </c>
      <c r="I10" s="13" t="n">
        <v>1</v>
      </c>
      <c r="J10" s="13"/>
      <c r="K10" s="13"/>
      <c r="L10" s="14"/>
      <c r="M10" s="13"/>
      <c r="N10" s="13"/>
      <c r="O10" s="14"/>
      <c r="P10" s="15"/>
      <c r="Q10" s="14"/>
    </row>
    <row r="11" customFormat="false" ht="15" hidden="false" customHeight="false" outlineLevel="0" collapsed="false">
      <c r="A11" s="10" t="s">
        <v>92</v>
      </c>
      <c r="B11" s="11" t="s">
        <v>93</v>
      </c>
      <c r="C11" s="10" t="s">
        <v>94</v>
      </c>
      <c r="D11" s="10" t="s">
        <v>95</v>
      </c>
      <c r="E11" s="10" t="n">
        <v>0.4</v>
      </c>
      <c r="F11" s="10" t="s">
        <v>57</v>
      </c>
      <c r="G11" s="13" t="n">
        <f aca="false">Dashboard!$B$3</f>
        <v>1</v>
      </c>
      <c r="H11" s="13" t="n">
        <f aca="false">MAX(Dashboard!$B$4,G11*E11)</f>
        <v>0.49</v>
      </c>
      <c r="I11" s="13" t="n">
        <v>1</v>
      </c>
      <c r="J11" s="13"/>
      <c r="K11" s="13"/>
      <c r="L11" s="14"/>
      <c r="M11" s="13"/>
      <c r="N11" s="13"/>
      <c r="O11" s="14"/>
      <c r="P11" s="15"/>
      <c r="Q11" s="14"/>
    </row>
    <row r="12" customFormat="false" ht="15" hidden="false" customHeight="false" outlineLevel="0" collapsed="false">
      <c r="A12" s="10" t="s">
        <v>96</v>
      </c>
      <c r="B12" s="11" t="s">
        <v>97</v>
      </c>
      <c r="C12" s="10" t="s">
        <v>98</v>
      </c>
      <c r="D12" s="10" t="s">
        <v>99</v>
      </c>
      <c r="E12" s="10" t="n">
        <v>0.75</v>
      </c>
      <c r="F12" s="10" t="s">
        <v>26</v>
      </c>
      <c r="G12" s="13" t="n">
        <f aca="false">Dashboard!$B$3</f>
        <v>1</v>
      </c>
      <c r="H12" s="13" t="n">
        <f aca="false">MAX(Dashboard!$B$4,G12*E12)</f>
        <v>0.75</v>
      </c>
      <c r="I12" s="13" t="n">
        <v>1</v>
      </c>
      <c r="J12" s="13"/>
      <c r="K12" s="13"/>
      <c r="L12" s="14"/>
      <c r="M12" s="13"/>
      <c r="N12" s="13"/>
      <c r="O12" s="14"/>
      <c r="P12" s="15"/>
      <c r="Q12" s="14"/>
    </row>
    <row r="13" customFormat="false" ht="15" hidden="false" customHeight="false" outlineLevel="0" collapsed="false">
      <c r="A13" s="10" t="s">
        <v>100</v>
      </c>
      <c r="B13" s="11" t="s">
        <v>101</v>
      </c>
      <c r="C13" s="10" t="s">
        <v>102</v>
      </c>
      <c r="D13" s="10" t="s">
        <v>103</v>
      </c>
      <c r="E13" s="10" t="n">
        <v>0.85</v>
      </c>
      <c r="F13" s="10" t="s">
        <v>22</v>
      </c>
      <c r="G13" s="13" t="n">
        <f aca="false">Dashboard!$B$3</f>
        <v>1</v>
      </c>
      <c r="H13" s="13" t="n">
        <f aca="false">MAX(Dashboard!$B$4,G13*E13)</f>
        <v>0.85</v>
      </c>
      <c r="I13" s="13" t="n">
        <v>1</v>
      </c>
      <c r="J13" s="13"/>
      <c r="K13" s="13"/>
      <c r="L13" s="14"/>
      <c r="M13" s="13"/>
      <c r="N13" s="13"/>
      <c r="O13" s="14"/>
      <c r="P13" s="15"/>
      <c r="Q13" s="14"/>
    </row>
    <row r="14" customFormat="false" ht="15" hidden="false" customHeight="false" outlineLevel="0" collapsed="false">
      <c r="A14" s="10" t="s">
        <v>104</v>
      </c>
      <c r="B14" s="11" t="s">
        <v>105</v>
      </c>
      <c r="C14" s="10" t="s">
        <v>106</v>
      </c>
      <c r="D14" s="10" t="s">
        <v>107</v>
      </c>
      <c r="E14" s="10" t="n">
        <v>0.15</v>
      </c>
      <c r="F14" s="10" t="s">
        <v>66</v>
      </c>
      <c r="G14" s="13" t="n">
        <f aca="false">Dashboard!$B$3</f>
        <v>1</v>
      </c>
      <c r="H14" s="13" t="n">
        <f aca="false">MAX(Dashboard!$B$4,G14*E14)</f>
        <v>0.49</v>
      </c>
      <c r="I14" s="13" t="n">
        <v>1</v>
      </c>
      <c r="J14" s="13"/>
      <c r="K14" s="13"/>
      <c r="L14" s="14"/>
      <c r="M14" s="13"/>
      <c r="N14" s="13"/>
      <c r="O14" s="14"/>
      <c r="P14" s="15"/>
      <c r="Q14" s="14"/>
    </row>
    <row r="15" customFormat="false" ht="15" hidden="false" customHeight="false" outlineLevel="0" collapsed="false">
      <c r="A15" s="10" t="s">
        <v>108</v>
      </c>
      <c r="B15" s="11" t="s">
        <v>108</v>
      </c>
      <c r="C15" s="10" t="s">
        <v>109</v>
      </c>
      <c r="D15" s="10" t="s">
        <v>110</v>
      </c>
      <c r="E15" s="10" t="n">
        <v>0.4</v>
      </c>
      <c r="F15" s="10" t="s">
        <v>57</v>
      </c>
      <c r="G15" s="13" t="n">
        <f aca="false">Dashboard!$B$3</f>
        <v>1</v>
      </c>
      <c r="H15" s="13" t="n">
        <f aca="false">MAX(Dashboard!$B$4,G15*E15)</f>
        <v>0.49</v>
      </c>
      <c r="I15" s="13" t="n">
        <v>1</v>
      </c>
      <c r="J15" s="13"/>
      <c r="K15" s="13"/>
      <c r="L15" s="14"/>
      <c r="M15" s="13"/>
      <c r="N15" s="13"/>
      <c r="O15" s="14"/>
      <c r="P15" s="15"/>
      <c r="Q15" s="14"/>
    </row>
    <row r="16" customFormat="false" ht="15" hidden="false" customHeight="false" outlineLevel="0" collapsed="false">
      <c r="A16" s="10" t="s">
        <v>111</v>
      </c>
      <c r="B16" s="11" t="s">
        <v>112</v>
      </c>
      <c r="C16" s="10" t="s">
        <v>113</v>
      </c>
      <c r="D16" s="10" t="s">
        <v>91</v>
      </c>
      <c r="E16" s="10" t="n">
        <v>0.84</v>
      </c>
      <c r="F16" s="10" t="s">
        <v>22</v>
      </c>
      <c r="G16" s="13" t="n">
        <f aca="false">Dashboard!$B$3</f>
        <v>1</v>
      </c>
      <c r="H16" s="13" t="n">
        <f aca="false">MAX(Dashboard!$B$4,G16*E16)</f>
        <v>0.84</v>
      </c>
      <c r="I16" s="13" t="n">
        <v>1</v>
      </c>
      <c r="J16" s="13"/>
      <c r="K16" s="13"/>
      <c r="L16" s="14"/>
      <c r="M16" s="13"/>
      <c r="N16" s="13"/>
      <c r="O16" s="14"/>
      <c r="P16" s="15"/>
      <c r="Q16" s="14"/>
    </row>
    <row r="17" customFormat="false" ht="15" hidden="false" customHeight="false" outlineLevel="0" collapsed="false">
      <c r="A17" s="10" t="s">
        <v>114</v>
      </c>
      <c r="B17" s="11" t="s">
        <v>114</v>
      </c>
      <c r="C17" s="10" t="s">
        <v>115</v>
      </c>
      <c r="D17" s="10" t="s">
        <v>116</v>
      </c>
      <c r="E17" s="10" t="n">
        <v>0.35</v>
      </c>
      <c r="F17" s="10" t="s">
        <v>57</v>
      </c>
      <c r="G17" s="13" t="n">
        <f aca="false">Dashboard!$B$3</f>
        <v>1</v>
      </c>
      <c r="H17" s="13" t="n">
        <f aca="false">MAX(Dashboard!$B$4,G17*E17)</f>
        <v>0.49</v>
      </c>
      <c r="I17" s="13" t="n">
        <v>1</v>
      </c>
      <c r="J17" s="13"/>
      <c r="K17" s="13"/>
      <c r="L17" s="14"/>
      <c r="M17" s="13"/>
      <c r="N17" s="13"/>
      <c r="O17" s="14"/>
      <c r="P17" s="15"/>
      <c r="Q17" s="14"/>
    </row>
    <row r="18" customFormat="false" ht="15" hidden="false" customHeight="false" outlineLevel="0" collapsed="false">
      <c r="A18" s="10" t="s">
        <v>117</v>
      </c>
      <c r="B18" s="11" t="s">
        <v>117</v>
      </c>
      <c r="C18" s="10" t="s">
        <v>118</v>
      </c>
      <c r="D18" s="10" t="s">
        <v>119</v>
      </c>
      <c r="E18" s="10" t="n">
        <v>0.18</v>
      </c>
      <c r="F18" s="10" t="s">
        <v>66</v>
      </c>
      <c r="G18" s="13" t="n">
        <f aca="false">Dashboard!$B$3</f>
        <v>1</v>
      </c>
      <c r="H18" s="13" t="n">
        <f aca="false">MAX(Dashboard!$B$4,G18*E18)</f>
        <v>0.49</v>
      </c>
      <c r="I18" s="13" t="n">
        <v>1</v>
      </c>
      <c r="J18" s="13"/>
      <c r="K18" s="13"/>
      <c r="L18" s="14"/>
      <c r="M18" s="13"/>
      <c r="N18" s="13"/>
      <c r="O18" s="14"/>
      <c r="P18" s="15"/>
      <c r="Q18" s="14"/>
    </row>
    <row r="19" customFormat="false" ht="15" hidden="false" customHeight="false" outlineLevel="0" collapsed="false">
      <c r="A19" s="10" t="s">
        <v>120</v>
      </c>
      <c r="B19" s="11" t="s">
        <v>120</v>
      </c>
      <c r="C19" s="10" t="s">
        <v>121</v>
      </c>
      <c r="D19" s="10" t="s">
        <v>122</v>
      </c>
      <c r="E19" s="10" t="n">
        <v>1</v>
      </c>
      <c r="F19" s="10" t="s">
        <v>22</v>
      </c>
      <c r="G19" s="13" t="n">
        <f aca="false">Dashboard!$B$3</f>
        <v>1</v>
      </c>
      <c r="H19" s="13" t="n">
        <f aca="false">MAX(Dashboard!$B$4,G19*E19)</f>
        <v>1</v>
      </c>
      <c r="I19" s="13" t="n">
        <v>1</v>
      </c>
      <c r="J19" s="13"/>
      <c r="K19" s="13"/>
      <c r="L19" s="14"/>
      <c r="M19" s="13"/>
      <c r="N19" s="13"/>
      <c r="O19" s="14"/>
      <c r="P19" s="15"/>
      <c r="Q19" s="14"/>
    </row>
    <row r="20" customFormat="false" ht="15" hidden="false" customHeight="false" outlineLevel="0" collapsed="false">
      <c r="A20" s="10" t="s">
        <v>123</v>
      </c>
      <c r="B20" s="11" t="s">
        <v>124</v>
      </c>
      <c r="C20" s="10" t="s">
        <v>125</v>
      </c>
      <c r="D20" s="10" t="s">
        <v>126</v>
      </c>
      <c r="E20" s="10" t="n">
        <v>0.3</v>
      </c>
      <c r="F20" s="10" t="s">
        <v>57</v>
      </c>
      <c r="G20" s="13" t="n">
        <f aca="false">Dashboard!$B$3</f>
        <v>1</v>
      </c>
      <c r="H20" s="13" t="n">
        <f aca="false">MAX(Dashboard!$B$4,G20*E20)</f>
        <v>0.49</v>
      </c>
      <c r="I20" s="13" t="n">
        <v>1</v>
      </c>
      <c r="J20" s="13"/>
      <c r="K20" s="13"/>
      <c r="L20" s="14"/>
      <c r="M20" s="13"/>
      <c r="N20" s="13"/>
      <c r="O20" s="14"/>
      <c r="P20" s="15"/>
      <c r="Q20" s="14"/>
    </row>
    <row r="21" customFormat="false" ht="26" hidden="false" customHeight="false" outlineLevel="0" collapsed="false">
      <c r="A21" s="10" t="s">
        <v>127</v>
      </c>
      <c r="B21" s="17" t="s">
        <v>128</v>
      </c>
      <c r="C21" s="10" t="s">
        <v>129</v>
      </c>
      <c r="D21" s="10" t="s">
        <v>130</v>
      </c>
      <c r="E21" s="10" t="n">
        <v>0.45</v>
      </c>
      <c r="F21" s="10" t="s">
        <v>30</v>
      </c>
      <c r="G21" s="13" t="n">
        <f aca="false">Dashboard!$B$3</f>
        <v>1</v>
      </c>
      <c r="H21" s="13" t="n">
        <f aca="false">MAX(Dashboard!$B$4,G21*E21)</f>
        <v>0.49</v>
      </c>
      <c r="I21" s="13" t="n">
        <v>1</v>
      </c>
      <c r="J21" s="13"/>
      <c r="K21" s="13"/>
      <c r="L21" s="14"/>
      <c r="M21" s="13"/>
      <c r="N21" s="13"/>
      <c r="O21" s="14"/>
      <c r="P21" s="15"/>
      <c r="Q21" s="14"/>
    </row>
    <row r="22" customFormat="false" ht="15" hidden="false" customHeight="false" outlineLevel="0" collapsed="false">
      <c r="A22" s="10" t="s">
        <v>131</v>
      </c>
      <c r="B22" s="11" t="s">
        <v>132</v>
      </c>
      <c r="C22" s="10" t="s">
        <v>133</v>
      </c>
      <c r="D22" s="10" t="s">
        <v>134</v>
      </c>
      <c r="E22" s="10" t="n">
        <v>0.4</v>
      </c>
      <c r="F22" s="10" t="s">
        <v>57</v>
      </c>
      <c r="G22" s="13" t="n">
        <f aca="false">Dashboard!$B$3</f>
        <v>1</v>
      </c>
      <c r="H22" s="13" t="n">
        <f aca="false">MAX(Dashboard!$B$4,G22*E22)</f>
        <v>0.49</v>
      </c>
      <c r="I22" s="13" t="n">
        <v>1</v>
      </c>
      <c r="J22" s="13"/>
      <c r="K22" s="13"/>
      <c r="L22" s="14"/>
      <c r="M22" s="13"/>
      <c r="N22" s="13"/>
      <c r="O22" s="14"/>
      <c r="P22" s="15"/>
      <c r="Q22" s="14"/>
    </row>
    <row r="23" customFormat="false" ht="25" hidden="false" customHeight="false" outlineLevel="0" collapsed="false">
      <c r="A23" s="10" t="s">
        <v>135</v>
      </c>
      <c r="B23" s="14" t="s">
        <v>136</v>
      </c>
      <c r="C23" s="10" t="s">
        <v>137</v>
      </c>
      <c r="D23" s="14" t="s">
        <v>138</v>
      </c>
      <c r="E23" s="16" t="n">
        <v>0.35</v>
      </c>
      <c r="F23" s="14" t="str">
        <f aca="false">IF(E23&gt;=0.8,"A",IF(E23&gt;=0.6,"B",IF(E23&gt;=0.4,"C",IF(E23&gt;=0.2,"D","E"))))</f>
        <v>D</v>
      </c>
      <c r="G23" s="13" t="n">
        <f aca="false">Dashboard!$B$3</f>
        <v>1</v>
      </c>
      <c r="H23" s="13" t="n">
        <f aca="false">MAX(Dashboard!$B$4,G23*E23)</f>
        <v>0.49</v>
      </c>
      <c r="I23" s="18" t="n">
        <v>0.85</v>
      </c>
      <c r="J23" s="13" t="n">
        <v>5</v>
      </c>
      <c r="K23" s="13" t="n">
        <f aca="false">H23*I23*J23</f>
        <v>2.0825</v>
      </c>
      <c r="L23" s="14" t="s">
        <v>139</v>
      </c>
      <c r="M23" s="13" t="n">
        <f aca="false">IF(L23="TRY_TIERS",IF(K23&lt;25,19,IF(K23&lt;35,29,IF(K23&lt;45,39,IF(K23&lt;60,49,79)))),
IF(L23="INR_TIERS",IF(K23&lt;40,29,IF(K23&lt;70,49,99)),
IF(L23="BRL_90",IF(K23&lt;3,2.9,IF(K23&lt;6,4.9,IF(K23&lt;10,6.9,9.9))),
IF(L23="IDR_000",ROUND(K23/1000,0)*1000,
IF(L23="JPY_00",ROUND(K23/100,0)*100,
IF(L23="KRW_000",ROUND(K23/1000,0)*1000,
IF(L23="VND_000",ROUND(K23/1000,0)*1000,
IF(OR(L23="USD_99",L23="EUR_99",L23="GBP_99",L23="CAD_99",L23="AUD_99",L23="PLN_99"),MAX(0.49,ROUND(K23,0)-0.01),
IF(L23="MXN_00",ROUND(K23,0),IF(L23="THB_00",ROUND(K23,0),ROUND(K23,2)))))))))))</f>
        <v>2.9</v>
      </c>
      <c r="N23" s="13" t="n">
        <f aca="false">M23/J23</f>
        <v>0.58</v>
      </c>
      <c r="O23" s="14" t="str">
        <f aca="false">IF(N23&lt;Dashboard!$B$4,"Below global min",IF(AND(E23&gt;=0.8,N23&lt;Dashboard!$B$5),"Raise high-PPP floor","OK"))</f>
        <v>OK</v>
      </c>
      <c r="P23" s="15" t="s">
        <v>140</v>
      </c>
      <c r="Q23" s="14"/>
    </row>
    <row r="24" customFormat="false" ht="15" hidden="false" customHeight="false" outlineLevel="0" collapsed="false">
      <c r="A24" s="10" t="s">
        <v>141</v>
      </c>
      <c r="B24" s="11" t="s">
        <v>142</v>
      </c>
      <c r="C24" s="10" t="s">
        <v>143</v>
      </c>
      <c r="D24" s="10" t="s">
        <v>144</v>
      </c>
      <c r="E24" s="10" t="n">
        <v>0.4</v>
      </c>
      <c r="F24" s="10" t="s">
        <v>57</v>
      </c>
      <c r="G24" s="13" t="n">
        <f aca="false">Dashboard!$B$3</f>
        <v>1</v>
      </c>
      <c r="H24" s="13" t="n">
        <f aca="false">MAX(Dashboard!$B$4,G24*E24)</f>
        <v>0.49</v>
      </c>
      <c r="I24" s="13" t="n">
        <v>1</v>
      </c>
      <c r="J24" s="13"/>
      <c r="K24" s="13"/>
      <c r="L24" s="14"/>
      <c r="M24" s="13"/>
      <c r="N24" s="13"/>
      <c r="O24" s="14"/>
      <c r="P24" s="15"/>
      <c r="Q24" s="14"/>
    </row>
    <row r="25" customFormat="false" ht="15" hidden="false" customHeight="false" outlineLevel="0" collapsed="false">
      <c r="A25" s="10" t="s">
        <v>145</v>
      </c>
      <c r="B25" s="11" t="s">
        <v>145</v>
      </c>
      <c r="C25" s="10" t="s">
        <v>146</v>
      </c>
      <c r="D25" s="10" t="s">
        <v>119</v>
      </c>
      <c r="E25" s="10" t="n">
        <v>0.18</v>
      </c>
      <c r="F25" s="10" t="s">
        <v>66</v>
      </c>
      <c r="G25" s="13" t="n">
        <f aca="false">Dashboard!$B$3</f>
        <v>1</v>
      </c>
      <c r="H25" s="13" t="n">
        <f aca="false">MAX(Dashboard!$B$4,G25*E25)</f>
        <v>0.49</v>
      </c>
      <c r="I25" s="13" t="n">
        <v>1</v>
      </c>
      <c r="J25" s="13"/>
      <c r="K25" s="13"/>
      <c r="L25" s="14"/>
      <c r="M25" s="13"/>
      <c r="N25" s="13"/>
      <c r="O25" s="14"/>
      <c r="P25" s="15"/>
      <c r="Q25" s="14"/>
    </row>
    <row r="26" customFormat="false" ht="15" hidden="false" customHeight="false" outlineLevel="0" collapsed="false">
      <c r="A26" s="10" t="s">
        <v>147</v>
      </c>
      <c r="B26" s="11" t="s">
        <v>147</v>
      </c>
      <c r="C26" s="10" t="s">
        <v>148</v>
      </c>
      <c r="D26" s="10" t="s">
        <v>149</v>
      </c>
      <c r="E26" s="10" t="n">
        <v>0.3</v>
      </c>
      <c r="F26" s="10" t="s">
        <v>57</v>
      </c>
      <c r="G26" s="13" t="n">
        <f aca="false">Dashboard!$B$3</f>
        <v>1</v>
      </c>
      <c r="H26" s="13" t="n">
        <f aca="false">MAX(Dashboard!$B$4,G26*E26)</f>
        <v>0.49</v>
      </c>
      <c r="I26" s="13" t="n">
        <v>1</v>
      </c>
      <c r="J26" s="13"/>
      <c r="K26" s="13"/>
      <c r="L26" s="14"/>
      <c r="M26" s="13"/>
      <c r="N26" s="13"/>
      <c r="O26" s="14"/>
      <c r="P26" s="15"/>
      <c r="Q26" s="14"/>
    </row>
    <row r="27" customFormat="false" ht="15" hidden="false" customHeight="false" outlineLevel="0" collapsed="false">
      <c r="A27" s="10" t="s">
        <v>150</v>
      </c>
      <c r="B27" s="11" t="s">
        <v>151</v>
      </c>
      <c r="C27" s="10" t="s">
        <v>152</v>
      </c>
      <c r="D27" s="10" t="s">
        <v>153</v>
      </c>
      <c r="E27" s="10" t="n">
        <v>0.2</v>
      </c>
      <c r="F27" s="10" t="s">
        <v>66</v>
      </c>
      <c r="G27" s="13" t="n">
        <f aca="false">Dashboard!$B$3</f>
        <v>1</v>
      </c>
      <c r="H27" s="13" t="n">
        <f aca="false">MAX(Dashboard!$B$4,G27*E27)</f>
        <v>0.49</v>
      </c>
      <c r="I27" s="13" t="n">
        <v>1</v>
      </c>
      <c r="J27" s="13"/>
      <c r="K27" s="13"/>
      <c r="L27" s="14"/>
      <c r="M27" s="13"/>
      <c r="N27" s="13"/>
      <c r="O27" s="14"/>
      <c r="P27" s="15"/>
      <c r="Q27" s="14"/>
    </row>
    <row r="28" customFormat="false" ht="15" hidden="false" customHeight="false" outlineLevel="0" collapsed="false">
      <c r="A28" s="10" t="s">
        <v>154</v>
      </c>
      <c r="B28" s="11" t="s">
        <v>155</v>
      </c>
      <c r="C28" s="10" t="s">
        <v>156</v>
      </c>
      <c r="D28" s="10" t="s">
        <v>157</v>
      </c>
      <c r="E28" s="10" t="n">
        <v>0.12</v>
      </c>
      <c r="F28" s="10" t="s">
        <v>66</v>
      </c>
      <c r="G28" s="13" t="n">
        <f aca="false">Dashboard!$B$3</f>
        <v>1</v>
      </c>
      <c r="H28" s="13" t="n">
        <f aca="false">MAX(Dashboard!$B$4,G28*E28)</f>
        <v>0.49</v>
      </c>
      <c r="I28" s="13" t="n">
        <v>1</v>
      </c>
      <c r="J28" s="13"/>
      <c r="K28" s="13"/>
      <c r="L28" s="14"/>
      <c r="M28" s="13"/>
      <c r="N28" s="13"/>
      <c r="O28" s="14"/>
      <c r="P28" s="15"/>
      <c r="Q28" s="14"/>
    </row>
    <row r="29" customFormat="false" ht="25" hidden="false" customHeight="false" outlineLevel="0" collapsed="false">
      <c r="A29" s="10" t="s">
        <v>158</v>
      </c>
      <c r="B29" s="14" t="s">
        <v>159</v>
      </c>
      <c r="C29" s="10" t="s">
        <v>160</v>
      </c>
      <c r="D29" s="14" t="s">
        <v>161</v>
      </c>
      <c r="E29" s="16" t="n">
        <v>0.85</v>
      </c>
      <c r="F29" s="14" t="str">
        <f aca="false">IF(E29&gt;=0.8,"A",IF(E29&gt;=0.6,"B",IF(E29&gt;=0.4,"C",IF(E29&gt;=0.2,"D","E"))))</f>
        <v>A</v>
      </c>
      <c r="G29" s="13" t="n">
        <f aca="false">Dashboard!$B$3</f>
        <v>1</v>
      </c>
      <c r="H29" s="13" t="n">
        <f aca="false">MAX(Dashboard!$B$4,G29*E29)</f>
        <v>0.85</v>
      </c>
      <c r="I29" s="13" t="n">
        <v>1</v>
      </c>
      <c r="J29" s="13" t="n">
        <v>1.35</v>
      </c>
      <c r="K29" s="13" t="n">
        <f aca="false">H29*I29*J29</f>
        <v>1.1475</v>
      </c>
      <c r="L29" s="14" t="s">
        <v>162</v>
      </c>
      <c r="M29" s="13" t="n">
        <f aca="false">IF(L29="TRY_TIERS",IF(K29&lt;25,19,IF(K29&lt;35,29,IF(K29&lt;45,39,IF(K29&lt;60,49,79)))),
IF(L29="INR_TIERS",IF(K29&lt;40,29,IF(K29&lt;70,49,99)),
IF(L29="BRL_90",IF(K29&lt;3,2.9,IF(K29&lt;6,4.9,IF(K29&lt;10,6.9,9.9))),
IF(L29="IDR_000",ROUND(K29/1000,0)*1000,
IF(L29="JPY_00",ROUND(K29/100,0)*100,
IF(L29="KRW_000",ROUND(K29/1000,0)*1000,
IF(L29="VND_000",ROUND(K29/1000,0)*1000,
IF(OR(L29="USD_99",L29="EUR_99",L29="GBP_99",L29="CAD_99",L29="AUD_99",L29="PLN_99"),MAX(0.49,ROUND(K29,0)-0.01),
IF(L29="MXN_00",ROUND(K29,0),IF(L29="THB_00",ROUND(K29,0),ROUND(K29,2)))))))))))</f>
        <v>0.99</v>
      </c>
      <c r="N29" s="13" t="n">
        <f aca="false">M29/J29</f>
        <v>0.733333333333333</v>
      </c>
      <c r="O29" s="14" t="str">
        <f aca="false">IF(N29&lt;Dashboard!$B$4,"Below global min",IF(AND(E29&gt;=0.8,N29&lt;Dashboard!$B$5),"Raise high-PPP floor","OK"))</f>
        <v>Raise high-PPP floor</v>
      </c>
      <c r="P29" s="15" t="s">
        <v>163</v>
      </c>
      <c r="Q29" s="14"/>
    </row>
    <row r="30" customFormat="false" ht="15" hidden="false" customHeight="false" outlineLevel="0" collapsed="false">
      <c r="A30" s="10" t="s">
        <v>164</v>
      </c>
      <c r="B30" s="11" t="s">
        <v>165</v>
      </c>
      <c r="C30" s="10" t="s">
        <v>166</v>
      </c>
      <c r="D30" s="10" t="s">
        <v>167</v>
      </c>
      <c r="E30" s="10" t="n">
        <v>1</v>
      </c>
      <c r="F30" s="10" t="s">
        <v>22</v>
      </c>
      <c r="G30" s="13" t="n">
        <f aca="false">Dashboard!$B$3</f>
        <v>1</v>
      </c>
      <c r="H30" s="13" t="n">
        <f aca="false">MAX(Dashboard!$B$4,G30*E30)</f>
        <v>1</v>
      </c>
      <c r="I30" s="13" t="n">
        <v>1</v>
      </c>
      <c r="J30" s="13"/>
      <c r="K30" s="13"/>
      <c r="L30" s="14"/>
      <c r="M30" s="13"/>
      <c r="N30" s="13"/>
      <c r="O30" s="14"/>
      <c r="P30" s="15"/>
      <c r="Q30" s="14"/>
    </row>
    <row r="31" customFormat="false" ht="26" hidden="false" customHeight="false" outlineLevel="0" collapsed="false">
      <c r="A31" s="10" t="s">
        <v>168</v>
      </c>
      <c r="B31" s="17" t="s">
        <v>169</v>
      </c>
      <c r="C31" s="10" t="s">
        <v>170</v>
      </c>
      <c r="D31" s="10" t="s">
        <v>157</v>
      </c>
      <c r="E31" s="10" t="n">
        <v>0.12</v>
      </c>
      <c r="F31" s="10" t="s">
        <v>66</v>
      </c>
      <c r="G31" s="13" t="n">
        <f aca="false">Dashboard!$B$3</f>
        <v>1</v>
      </c>
      <c r="H31" s="13" t="n">
        <f aca="false">MAX(Dashboard!$B$4,G31*E31)</f>
        <v>0.49</v>
      </c>
      <c r="I31" s="13" t="n">
        <v>1</v>
      </c>
      <c r="J31" s="13"/>
      <c r="K31" s="13"/>
      <c r="L31" s="14"/>
      <c r="M31" s="13"/>
      <c r="N31" s="13"/>
      <c r="O31" s="14"/>
      <c r="P31" s="15"/>
      <c r="Q31" s="14"/>
    </row>
    <row r="32" customFormat="false" ht="15" hidden="false" customHeight="false" outlineLevel="0" collapsed="false">
      <c r="A32" s="10" t="s">
        <v>171</v>
      </c>
      <c r="B32" s="11" t="s">
        <v>172</v>
      </c>
      <c r="C32" s="10" t="s">
        <v>173</v>
      </c>
      <c r="D32" s="10" t="s">
        <v>157</v>
      </c>
      <c r="E32" s="10" t="n">
        <v>0.12</v>
      </c>
      <c r="F32" s="10" t="s">
        <v>66</v>
      </c>
      <c r="G32" s="13" t="n">
        <f aca="false">Dashboard!$B$3</f>
        <v>1</v>
      </c>
      <c r="H32" s="13" t="n">
        <f aca="false">MAX(Dashboard!$B$4,G32*E32)</f>
        <v>0.49</v>
      </c>
      <c r="I32" s="13" t="n">
        <v>1</v>
      </c>
      <c r="J32" s="13"/>
      <c r="K32" s="13"/>
      <c r="L32" s="14"/>
      <c r="M32" s="13"/>
      <c r="N32" s="13"/>
      <c r="O32" s="14"/>
      <c r="P32" s="15"/>
      <c r="Q32" s="14"/>
    </row>
    <row r="33" customFormat="false" ht="15" hidden="false" customHeight="false" outlineLevel="0" collapsed="false">
      <c r="A33" s="10" t="s">
        <v>174</v>
      </c>
      <c r="B33" s="11" t="s">
        <v>175</v>
      </c>
      <c r="C33" s="10" t="s">
        <v>176</v>
      </c>
      <c r="D33" s="10" t="s">
        <v>177</v>
      </c>
      <c r="E33" s="10" t="n">
        <v>0.6</v>
      </c>
      <c r="F33" s="10" t="s">
        <v>30</v>
      </c>
      <c r="G33" s="13" t="n">
        <f aca="false">Dashboard!$B$3</f>
        <v>1</v>
      </c>
      <c r="H33" s="13" t="n">
        <f aca="false">MAX(Dashboard!$B$4,G33*E33)</f>
        <v>0.6</v>
      </c>
      <c r="I33" s="13" t="n">
        <v>1</v>
      </c>
      <c r="J33" s="13"/>
      <c r="K33" s="13"/>
      <c r="L33" s="14"/>
      <c r="M33" s="13"/>
      <c r="N33" s="13"/>
      <c r="O33" s="14"/>
      <c r="P33" s="15"/>
      <c r="Q33" s="14"/>
    </row>
    <row r="34" customFormat="false" ht="15" hidden="false" customHeight="false" outlineLevel="0" collapsed="false">
      <c r="A34" s="10" t="s">
        <v>178</v>
      </c>
      <c r="B34" s="11" t="s">
        <v>179</v>
      </c>
      <c r="C34" s="10" t="s">
        <v>180</v>
      </c>
      <c r="D34" s="10" t="s">
        <v>181</v>
      </c>
      <c r="E34" s="10" t="n">
        <v>0.38</v>
      </c>
      <c r="F34" s="10" t="s">
        <v>57</v>
      </c>
      <c r="G34" s="13" t="n">
        <f aca="false">Dashboard!$B$3</f>
        <v>1</v>
      </c>
      <c r="H34" s="13" t="n">
        <f aca="false">MAX(Dashboard!$B$4,G34*E34)</f>
        <v>0.49</v>
      </c>
      <c r="I34" s="13" t="n">
        <v>1</v>
      </c>
      <c r="J34" s="13"/>
      <c r="K34" s="13"/>
      <c r="L34" s="14"/>
      <c r="M34" s="13"/>
      <c r="N34" s="13"/>
      <c r="O34" s="14"/>
      <c r="P34" s="15"/>
      <c r="Q34" s="14"/>
    </row>
    <row r="35" customFormat="false" ht="15" hidden="false" customHeight="false" outlineLevel="0" collapsed="false">
      <c r="A35" s="10" t="s">
        <v>182</v>
      </c>
      <c r="B35" s="11" t="s">
        <v>183</v>
      </c>
      <c r="C35" s="10" t="s">
        <v>184</v>
      </c>
      <c r="D35" s="10" t="s">
        <v>185</v>
      </c>
      <c r="E35" s="10" t="n">
        <v>0.18</v>
      </c>
      <c r="F35" s="10" t="s">
        <v>66</v>
      </c>
      <c r="G35" s="13" t="n">
        <f aca="false">Dashboard!$B$3</f>
        <v>1</v>
      </c>
      <c r="H35" s="13" t="n">
        <f aca="false">MAX(Dashboard!$B$4,G35*E35)</f>
        <v>0.49</v>
      </c>
      <c r="I35" s="13" t="n">
        <v>1</v>
      </c>
      <c r="J35" s="13"/>
      <c r="K35" s="13"/>
      <c r="L35" s="14"/>
      <c r="M35" s="13"/>
      <c r="N35" s="13"/>
      <c r="O35" s="14"/>
      <c r="P35" s="15"/>
      <c r="Q35" s="14"/>
    </row>
    <row r="36" customFormat="false" ht="15" hidden="false" customHeight="false" outlineLevel="0" collapsed="false">
      <c r="A36" s="10" t="s">
        <v>186</v>
      </c>
      <c r="B36" s="11" t="s">
        <v>187</v>
      </c>
      <c r="C36" s="10" t="s">
        <v>188</v>
      </c>
      <c r="D36" s="10" t="s">
        <v>157</v>
      </c>
      <c r="E36" s="10" t="n">
        <v>0.22</v>
      </c>
      <c r="F36" s="10" t="s">
        <v>66</v>
      </c>
      <c r="G36" s="13" t="n">
        <f aca="false">Dashboard!$B$3</f>
        <v>1</v>
      </c>
      <c r="H36" s="13" t="n">
        <f aca="false">MAX(Dashboard!$B$4,G36*E36)</f>
        <v>0.49</v>
      </c>
      <c r="I36" s="13" t="n">
        <v>1</v>
      </c>
      <c r="J36" s="13"/>
      <c r="K36" s="13"/>
      <c r="L36" s="14"/>
      <c r="M36" s="13"/>
      <c r="N36" s="13"/>
      <c r="O36" s="14"/>
      <c r="P36" s="15"/>
      <c r="Q36" s="14"/>
    </row>
    <row r="37" customFormat="false" ht="26" hidden="false" customHeight="false" outlineLevel="0" collapsed="false">
      <c r="A37" s="10" t="s">
        <v>189</v>
      </c>
      <c r="B37" s="17" t="s">
        <v>190</v>
      </c>
      <c r="C37" s="10" t="s">
        <v>191</v>
      </c>
      <c r="D37" s="10" t="s">
        <v>192</v>
      </c>
      <c r="E37" s="10" t="n">
        <v>0.15</v>
      </c>
      <c r="F37" s="10" t="s">
        <v>66</v>
      </c>
      <c r="G37" s="13" t="n">
        <f aca="false">Dashboard!$B$3</f>
        <v>1</v>
      </c>
      <c r="H37" s="13" t="n">
        <f aca="false">MAX(Dashboard!$B$4,G37*E37)</f>
        <v>0.49</v>
      </c>
      <c r="I37" s="13" t="n">
        <v>1</v>
      </c>
      <c r="J37" s="13"/>
      <c r="K37" s="13"/>
      <c r="L37" s="14"/>
      <c r="M37" s="13"/>
      <c r="N37" s="13"/>
      <c r="O37" s="14"/>
      <c r="P37" s="15"/>
      <c r="Q37" s="14"/>
    </row>
    <row r="38" customFormat="false" ht="15" hidden="false" customHeight="false" outlineLevel="0" collapsed="false">
      <c r="A38" s="10" t="s">
        <v>193</v>
      </c>
      <c r="B38" s="11" t="s">
        <v>194</v>
      </c>
      <c r="C38" s="10" t="s">
        <v>195</v>
      </c>
      <c r="D38" s="10" t="s">
        <v>196</v>
      </c>
      <c r="E38" s="10" t="n">
        <v>0.5</v>
      </c>
      <c r="F38" s="10" t="s">
        <v>30</v>
      </c>
      <c r="G38" s="13" t="n">
        <f aca="false">Dashboard!$B$3</f>
        <v>1</v>
      </c>
      <c r="H38" s="13" t="n">
        <f aca="false">MAX(Dashboard!$B$4,G38*E38)</f>
        <v>0.5</v>
      </c>
      <c r="I38" s="13" t="n">
        <v>1</v>
      </c>
      <c r="J38" s="13"/>
      <c r="K38" s="13"/>
      <c r="L38" s="14"/>
      <c r="M38" s="13"/>
      <c r="N38" s="13"/>
      <c r="O38" s="14"/>
      <c r="P38" s="15"/>
      <c r="Q38" s="14"/>
    </row>
    <row r="39" customFormat="false" ht="15" hidden="false" customHeight="false" outlineLevel="0" collapsed="false">
      <c r="A39" s="17" t="s">
        <v>197</v>
      </c>
      <c r="B39" s="11" t="s">
        <v>197</v>
      </c>
      <c r="C39" s="10" t="s">
        <v>198</v>
      </c>
      <c r="D39" s="10" t="s">
        <v>119</v>
      </c>
      <c r="E39" s="10" t="n">
        <v>0.25</v>
      </c>
      <c r="F39" s="10" t="s">
        <v>66</v>
      </c>
      <c r="G39" s="13" t="n">
        <f aca="false">Dashboard!$B$3</f>
        <v>1</v>
      </c>
      <c r="H39" s="13" t="n">
        <f aca="false">MAX(Dashboard!$B$4,G39*E39)</f>
        <v>0.49</v>
      </c>
      <c r="I39" s="13" t="n">
        <v>1</v>
      </c>
      <c r="J39" s="13"/>
      <c r="K39" s="13"/>
      <c r="L39" s="14"/>
      <c r="M39" s="13"/>
      <c r="N39" s="13"/>
      <c r="O39" s="14"/>
      <c r="P39" s="15"/>
      <c r="Q39" s="14"/>
    </row>
    <row r="40" customFormat="false" ht="15" hidden="false" customHeight="false" outlineLevel="0" collapsed="false">
      <c r="A40" s="10" t="s">
        <v>199</v>
      </c>
      <c r="B40" s="11" t="s">
        <v>200</v>
      </c>
      <c r="C40" s="10" t="s">
        <v>201</v>
      </c>
      <c r="D40" s="10" t="s">
        <v>91</v>
      </c>
      <c r="E40" s="10" t="n">
        <v>0.55</v>
      </c>
      <c r="F40" s="10" t="s">
        <v>30</v>
      </c>
      <c r="G40" s="13" t="n">
        <f aca="false">Dashboard!$B$3</f>
        <v>1</v>
      </c>
      <c r="H40" s="13" t="n">
        <f aca="false">MAX(Dashboard!$B$4,G40*E40)</f>
        <v>0.55</v>
      </c>
      <c r="I40" s="13" t="n">
        <v>1</v>
      </c>
      <c r="J40" s="13"/>
      <c r="K40" s="13"/>
      <c r="L40" s="14"/>
      <c r="M40" s="13"/>
      <c r="N40" s="13"/>
      <c r="O40" s="14"/>
      <c r="P40" s="15"/>
      <c r="Q40" s="14"/>
    </row>
    <row r="41" customFormat="false" ht="15" hidden="false" customHeight="false" outlineLevel="0" collapsed="false">
      <c r="A41" s="10" t="s">
        <v>202</v>
      </c>
      <c r="B41" s="11" t="s">
        <v>203</v>
      </c>
      <c r="C41" s="10" t="s">
        <v>204</v>
      </c>
      <c r="D41" s="10" t="s">
        <v>91</v>
      </c>
      <c r="E41" s="10" t="n">
        <v>0.7</v>
      </c>
      <c r="F41" s="10" t="s">
        <v>26</v>
      </c>
      <c r="G41" s="13" t="n">
        <f aca="false">Dashboard!$B$3</f>
        <v>1</v>
      </c>
      <c r="H41" s="13" t="n">
        <f aca="false">MAX(Dashboard!$B$4,G41*E41)</f>
        <v>0.7</v>
      </c>
      <c r="I41" s="13" t="n">
        <v>1</v>
      </c>
      <c r="J41" s="13"/>
      <c r="K41" s="13"/>
      <c r="L41" s="14"/>
      <c r="M41" s="13"/>
      <c r="N41" s="13"/>
      <c r="O41" s="14"/>
      <c r="P41" s="15"/>
      <c r="Q41" s="14"/>
    </row>
    <row r="42" customFormat="false" ht="15" hidden="false" customHeight="false" outlineLevel="0" collapsed="false">
      <c r="A42" s="10" t="s">
        <v>205</v>
      </c>
      <c r="B42" s="17" t="s">
        <v>206</v>
      </c>
      <c r="C42" s="10" t="s">
        <v>207</v>
      </c>
      <c r="D42" s="10" t="s">
        <v>208</v>
      </c>
      <c r="E42" s="10" t="n">
        <v>0.6</v>
      </c>
      <c r="F42" s="10" t="s">
        <v>30</v>
      </c>
      <c r="G42" s="13" t="n">
        <f aca="false">Dashboard!$B$3</f>
        <v>1</v>
      </c>
      <c r="H42" s="13" t="n">
        <f aca="false">MAX(Dashboard!$B$4,G42*E42)</f>
        <v>0.6</v>
      </c>
      <c r="I42" s="13" t="n">
        <v>1</v>
      </c>
      <c r="J42" s="13"/>
      <c r="K42" s="13"/>
      <c r="L42" s="14"/>
      <c r="M42" s="13"/>
      <c r="N42" s="13"/>
      <c r="O42" s="14"/>
      <c r="P42" s="15"/>
      <c r="Q42" s="14"/>
    </row>
    <row r="43" customFormat="false" ht="15" hidden="false" customHeight="false" outlineLevel="0" collapsed="false">
      <c r="A43" s="10" t="s">
        <v>209</v>
      </c>
      <c r="B43" s="11" t="s">
        <v>210</v>
      </c>
      <c r="C43" s="10" t="s">
        <v>211</v>
      </c>
      <c r="D43" s="10" t="s">
        <v>212</v>
      </c>
      <c r="E43" s="10" t="n">
        <v>0.92</v>
      </c>
      <c r="F43" s="10" t="s">
        <v>22</v>
      </c>
      <c r="G43" s="13" t="n">
        <f aca="false">Dashboard!$B$3</f>
        <v>1</v>
      </c>
      <c r="H43" s="13" t="n">
        <f aca="false">MAX(Dashboard!$B$4,G43*E43)</f>
        <v>0.92</v>
      </c>
      <c r="I43" s="13" t="n">
        <v>1</v>
      </c>
      <c r="J43" s="13"/>
      <c r="K43" s="13"/>
      <c r="L43" s="14"/>
      <c r="M43" s="13"/>
      <c r="N43" s="13"/>
      <c r="O43" s="14"/>
      <c r="P43" s="15"/>
      <c r="Q43" s="14"/>
    </row>
    <row r="44" customFormat="false" ht="15" hidden="false" customHeight="false" outlineLevel="0" collapsed="false">
      <c r="A44" s="10" t="s">
        <v>213</v>
      </c>
      <c r="B44" s="11" t="s">
        <v>214</v>
      </c>
      <c r="C44" s="10" t="s">
        <v>215</v>
      </c>
      <c r="D44" s="10" t="s">
        <v>216</v>
      </c>
      <c r="E44" s="10" t="n">
        <v>0.25</v>
      </c>
      <c r="F44" s="10" t="s">
        <v>66</v>
      </c>
      <c r="G44" s="13" t="n">
        <f aca="false">Dashboard!$B$3</f>
        <v>1</v>
      </c>
      <c r="H44" s="13" t="n">
        <f aca="false">MAX(Dashboard!$B$4,G44*E44)</f>
        <v>0.49</v>
      </c>
      <c r="I44" s="13" t="n">
        <v>1</v>
      </c>
      <c r="J44" s="13"/>
      <c r="K44" s="13"/>
      <c r="L44" s="14"/>
      <c r="M44" s="13"/>
      <c r="N44" s="13"/>
      <c r="O44" s="14"/>
      <c r="P44" s="15"/>
      <c r="Q44" s="14"/>
    </row>
    <row r="45" customFormat="false" ht="15" hidden="false" customHeight="false" outlineLevel="0" collapsed="false">
      <c r="A45" s="10" t="s">
        <v>217</v>
      </c>
      <c r="B45" s="11" t="s">
        <v>218</v>
      </c>
      <c r="C45" s="10" t="s">
        <v>219</v>
      </c>
      <c r="D45" s="10" t="s">
        <v>70</v>
      </c>
      <c r="E45" s="10" t="n">
        <v>0.55</v>
      </c>
      <c r="F45" s="10" t="s">
        <v>30</v>
      </c>
      <c r="G45" s="13" t="n">
        <f aca="false">Dashboard!$B$3</f>
        <v>1</v>
      </c>
      <c r="H45" s="13" t="n">
        <f aca="false">MAX(Dashboard!$B$4,G45*E45)</f>
        <v>0.55</v>
      </c>
      <c r="I45" s="13" t="n">
        <v>1</v>
      </c>
      <c r="J45" s="13"/>
      <c r="K45" s="13"/>
      <c r="L45" s="14"/>
      <c r="M45" s="13"/>
      <c r="N45" s="13"/>
      <c r="O45" s="14"/>
      <c r="P45" s="15"/>
      <c r="Q45" s="14"/>
    </row>
    <row r="46" customFormat="false" ht="15" hidden="false" customHeight="false" outlineLevel="0" collapsed="false">
      <c r="A46" s="10" t="s">
        <v>220</v>
      </c>
      <c r="B46" s="11" t="s">
        <v>221</v>
      </c>
      <c r="C46" s="10" t="s">
        <v>219</v>
      </c>
      <c r="D46" s="10" t="s">
        <v>222</v>
      </c>
      <c r="E46" s="10" t="n">
        <v>0.35</v>
      </c>
      <c r="F46" s="10" t="s">
        <v>57</v>
      </c>
      <c r="G46" s="13" t="n">
        <f aca="false">Dashboard!$B$3</f>
        <v>1</v>
      </c>
      <c r="H46" s="13" t="n">
        <f aca="false">MAX(Dashboard!$B$4,G46*E46)</f>
        <v>0.49</v>
      </c>
      <c r="I46" s="13" t="n">
        <v>1</v>
      </c>
      <c r="J46" s="13"/>
      <c r="K46" s="13"/>
      <c r="L46" s="14"/>
      <c r="M46" s="13"/>
      <c r="N46" s="13"/>
      <c r="O46" s="14"/>
      <c r="P46" s="15"/>
      <c r="Q46" s="14"/>
    </row>
    <row r="47" customFormat="false" ht="15" hidden="false" customHeight="false" outlineLevel="0" collapsed="false">
      <c r="A47" s="10" t="s">
        <v>223</v>
      </c>
      <c r="B47" s="11" t="s">
        <v>224</v>
      </c>
      <c r="C47" s="10" t="s">
        <v>225</v>
      </c>
      <c r="D47" s="10" t="s">
        <v>226</v>
      </c>
      <c r="E47" s="10" t="n">
        <v>0.4</v>
      </c>
      <c r="F47" s="10" t="s">
        <v>57</v>
      </c>
      <c r="G47" s="13" t="n">
        <f aca="false">Dashboard!$B$3</f>
        <v>1</v>
      </c>
      <c r="H47" s="13" t="n">
        <f aca="false">MAX(Dashboard!$B$4,G47*E47)</f>
        <v>0.49</v>
      </c>
      <c r="I47" s="13" t="n">
        <v>1</v>
      </c>
      <c r="J47" s="13"/>
      <c r="K47" s="13"/>
      <c r="L47" s="14"/>
      <c r="M47" s="13"/>
      <c r="N47" s="13"/>
      <c r="O47" s="14"/>
      <c r="P47" s="15"/>
      <c r="Q47" s="14"/>
    </row>
    <row r="48" customFormat="false" ht="15" hidden="false" customHeight="false" outlineLevel="0" collapsed="false">
      <c r="A48" s="10" t="s">
        <v>227</v>
      </c>
      <c r="B48" s="17" t="s">
        <v>228</v>
      </c>
      <c r="C48" s="10" t="s">
        <v>229</v>
      </c>
      <c r="D48" s="10" t="s">
        <v>230</v>
      </c>
      <c r="E48" s="10" t="n">
        <v>0.25</v>
      </c>
      <c r="F48" s="10" t="s">
        <v>66</v>
      </c>
      <c r="G48" s="13" t="n">
        <f aca="false">Dashboard!$B$3</f>
        <v>1</v>
      </c>
      <c r="H48" s="13" t="n">
        <f aca="false">MAX(Dashboard!$B$4,G48*E48)</f>
        <v>0.49</v>
      </c>
      <c r="I48" s="13" t="n">
        <v>1</v>
      </c>
      <c r="J48" s="13"/>
      <c r="K48" s="13"/>
      <c r="L48" s="14"/>
      <c r="M48" s="13"/>
      <c r="N48" s="13"/>
      <c r="O48" s="14"/>
      <c r="P48" s="15"/>
      <c r="Q48" s="14"/>
    </row>
    <row r="49" customFormat="false" ht="15" hidden="false" customHeight="false" outlineLevel="0" collapsed="false">
      <c r="A49" s="10" t="s">
        <v>231</v>
      </c>
      <c r="B49" s="11" t="s">
        <v>231</v>
      </c>
      <c r="C49" s="10" t="s">
        <v>232</v>
      </c>
      <c r="D49" s="10" t="s">
        <v>233</v>
      </c>
      <c r="E49" s="10" t="n">
        <v>0.3</v>
      </c>
      <c r="F49" s="10" t="s">
        <v>57</v>
      </c>
      <c r="G49" s="13" t="n">
        <f aca="false">Dashboard!$B$3</f>
        <v>1</v>
      </c>
      <c r="H49" s="13" t="n">
        <f aca="false">MAX(Dashboard!$B$4,G49*E49)</f>
        <v>0.49</v>
      </c>
      <c r="I49" s="13" t="n">
        <v>1</v>
      </c>
      <c r="J49" s="13"/>
      <c r="K49" s="13"/>
      <c r="L49" s="14"/>
      <c r="M49" s="13"/>
      <c r="N49" s="13"/>
      <c r="O49" s="14"/>
      <c r="P49" s="15"/>
      <c r="Q49" s="14"/>
    </row>
    <row r="50" customFormat="false" ht="15" hidden="false" customHeight="false" outlineLevel="0" collapsed="false">
      <c r="A50" s="10" t="s">
        <v>234</v>
      </c>
      <c r="B50" s="11" t="s">
        <v>235</v>
      </c>
      <c r="C50" s="10" t="s">
        <v>236</v>
      </c>
      <c r="D50" s="10" t="s">
        <v>237</v>
      </c>
      <c r="E50" s="10" t="n">
        <v>0.15</v>
      </c>
      <c r="F50" s="10" t="s">
        <v>66</v>
      </c>
      <c r="G50" s="13" t="n">
        <f aca="false">Dashboard!$B$3</f>
        <v>1</v>
      </c>
      <c r="H50" s="13" t="n">
        <f aca="false">MAX(Dashboard!$B$4,G50*E50)</f>
        <v>0.49</v>
      </c>
      <c r="I50" s="13" t="n">
        <v>1</v>
      </c>
      <c r="J50" s="13"/>
      <c r="K50" s="13"/>
      <c r="L50" s="14"/>
      <c r="M50" s="13"/>
      <c r="N50" s="13"/>
      <c r="O50" s="14"/>
      <c r="P50" s="15"/>
      <c r="Q50" s="14"/>
    </row>
    <row r="51" customFormat="false" ht="15" hidden="false" customHeight="false" outlineLevel="0" collapsed="false">
      <c r="A51" s="10" t="s">
        <v>238</v>
      </c>
      <c r="B51" s="11" t="s">
        <v>239</v>
      </c>
      <c r="C51" s="10" t="s">
        <v>240</v>
      </c>
      <c r="D51" s="10" t="s">
        <v>91</v>
      </c>
      <c r="E51" s="10" t="n">
        <v>0.65</v>
      </c>
      <c r="F51" s="10" t="s">
        <v>26</v>
      </c>
      <c r="G51" s="13" t="n">
        <f aca="false">Dashboard!$B$3</f>
        <v>1</v>
      </c>
      <c r="H51" s="13" t="n">
        <f aca="false">MAX(Dashboard!$B$4,G51*E51)</f>
        <v>0.65</v>
      </c>
      <c r="I51" s="13" t="n">
        <v>1</v>
      </c>
      <c r="J51" s="13"/>
      <c r="K51" s="13"/>
      <c r="L51" s="14"/>
      <c r="M51" s="13"/>
      <c r="N51" s="13"/>
      <c r="O51" s="14"/>
      <c r="P51" s="15"/>
      <c r="Q51" s="14"/>
    </row>
    <row r="52" customFormat="false" ht="15" hidden="false" customHeight="false" outlineLevel="0" collapsed="false">
      <c r="A52" s="10" t="s">
        <v>241</v>
      </c>
      <c r="B52" s="11" t="s">
        <v>241</v>
      </c>
      <c r="C52" s="10" t="s">
        <v>242</v>
      </c>
      <c r="D52" s="10" t="s">
        <v>243</v>
      </c>
      <c r="E52" s="10" t="n">
        <v>0.4</v>
      </c>
      <c r="F52" s="10" t="s">
        <v>57</v>
      </c>
      <c r="G52" s="13" t="n">
        <f aca="false">Dashboard!$B$3</f>
        <v>1</v>
      </c>
      <c r="H52" s="13" t="n">
        <f aca="false">MAX(Dashboard!$B$4,G52*E52)</f>
        <v>0.49</v>
      </c>
      <c r="I52" s="13" t="n">
        <v>1</v>
      </c>
      <c r="J52" s="13"/>
      <c r="K52" s="13"/>
      <c r="L52" s="14"/>
      <c r="M52" s="13"/>
      <c r="N52" s="13"/>
      <c r="O52" s="14"/>
      <c r="P52" s="15"/>
      <c r="Q52" s="14"/>
    </row>
    <row r="53" customFormat="false" ht="15" hidden="false" customHeight="false" outlineLevel="0" collapsed="false">
      <c r="A53" s="10" t="s">
        <v>244</v>
      </c>
      <c r="B53" s="11" t="s">
        <v>245</v>
      </c>
      <c r="C53" s="10" t="s">
        <v>246</v>
      </c>
      <c r="D53" s="10" t="s">
        <v>91</v>
      </c>
      <c r="E53" s="10" t="n">
        <v>0.85</v>
      </c>
      <c r="F53" s="10" t="s">
        <v>22</v>
      </c>
      <c r="G53" s="13" t="n">
        <f aca="false">Dashboard!$B$3</f>
        <v>1</v>
      </c>
      <c r="H53" s="13" t="n">
        <f aca="false">MAX(Dashboard!$B$4,G53*E53)</f>
        <v>0.85</v>
      </c>
      <c r="I53" s="13" t="n">
        <v>1</v>
      </c>
      <c r="J53" s="13"/>
      <c r="K53" s="13"/>
      <c r="L53" s="14"/>
      <c r="M53" s="13"/>
      <c r="N53" s="13"/>
      <c r="O53" s="14"/>
      <c r="P53" s="15"/>
      <c r="Q53" s="14"/>
    </row>
    <row r="54" customFormat="false" ht="15" hidden="false" customHeight="false" outlineLevel="0" collapsed="false">
      <c r="A54" s="10" t="s">
        <v>247</v>
      </c>
      <c r="B54" s="11" t="s">
        <v>248</v>
      </c>
      <c r="C54" s="10" t="s">
        <v>249</v>
      </c>
      <c r="D54" s="10" t="s">
        <v>91</v>
      </c>
      <c r="E54" s="10" t="n">
        <v>0.82</v>
      </c>
      <c r="F54" s="10" t="s">
        <v>22</v>
      </c>
      <c r="G54" s="13" t="n">
        <f aca="false">Dashboard!$B$3</f>
        <v>1</v>
      </c>
      <c r="H54" s="13" t="n">
        <f aca="false">MAX(Dashboard!$B$4,G54*E54)</f>
        <v>0.82</v>
      </c>
      <c r="I54" s="13" t="n">
        <v>1</v>
      </c>
      <c r="J54" s="13"/>
      <c r="K54" s="13"/>
      <c r="L54" s="14"/>
      <c r="M54" s="13"/>
      <c r="N54" s="13"/>
      <c r="O54" s="14"/>
      <c r="P54" s="15"/>
      <c r="Q54" s="14"/>
    </row>
    <row r="55" customFormat="false" ht="15" hidden="false" customHeight="false" outlineLevel="0" collapsed="false">
      <c r="A55" s="10" t="s">
        <v>250</v>
      </c>
      <c r="B55" s="11" t="s">
        <v>250</v>
      </c>
      <c r="C55" s="10" t="s">
        <v>251</v>
      </c>
      <c r="D55" s="10" t="s">
        <v>157</v>
      </c>
      <c r="E55" s="10" t="n">
        <v>0.4</v>
      </c>
      <c r="F55" s="10" t="s">
        <v>57</v>
      </c>
      <c r="G55" s="13" t="n">
        <f aca="false">Dashboard!$B$3</f>
        <v>1</v>
      </c>
      <c r="H55" s="13" t="n">
        <f aca="false">MAX(Dashboard!$B$4,G55*E55)</f>
        <v>0.49</v>
      </c>
      <c r="I55" s="13" t="n">
        <v>1</v>
      </c>
      <c r="J55" s="13"/>
      <c r="K55" s="13"/>
      <c r="L55" s="14"/>
      <c r="M55" s="13"/>
      <c r="N55" s="13"/>
      <c r="O55" s="14"/>
      <c r="P55" s="15"/>
      <c r="Q55" s="14"/>
    </row>
    <row r="56" customFormat="false" ht="15" hidden="false" customHeight="false" outlineLevel="0" collapsed="false">
      <c r="A56" s="10" t="s">
        <v>252</v>
      </c>
      <c r="B56" s="11" t="s">
        <v>253</v>
      </c>
      <c r="C56" s="10" t="s">
        <v>254</v>
      </c>
      <c r="D56" s="10" t="s">
        <v>255</v>
      </c>
      <c r="E56" s="10" t="n">
        <v>0.18</v>
      </c>
      <c r="F56" s="10" t="s">
        <v>66</v>
      </c>
      <c r="G56" s="13" t="n">
        <f aca="false">Dashboard!$B$3</f>
        <v>1</v>
      </c>
      <c r="H56" s="13" t="n">
        <f aca="false">MAX(Dashboard!$B$4,G56*E56)</f>
        <v>0.49</v>
      </c>
      <c r="I56" s="13" t="n">
        <v>1</v>
      </c>
      <c r="J56" s="13"/>
      <c r="K56" s="13"/>
      <c r="L56" s="14"/>
      <c r="M56" s="13"/>
      <c r="N56" s="13"/>
      <c r="O56" s="14"/>
      <c r="P56" s="15"/>
      <c r="Q56" s="14"/>
    </row>
    <row r="57" customFormat="false" ht="15" hidden="false" customHeight="false" outlineLevel="0" collapsed="false">
      <c r="A57" s="10" t="s">
        <v>256</v>
      </c>
      <c r="B57" s="11" t="s">
        <v>257</v>
      </c>
      <c r="C57" s="10" t="s">
        <v>258</v>
      </c>
      <c r="D57" s="10" t="s">
        <v>259</v>
      </c>
      <c r="E57" s="10" t="n">
        <v>0.35</v>
      </c>
      <c r="F57" s="10" t="s">
        <v>57</v>
      </c>
      <c r="G57" s="13" t="n">
        <f aca="false">Dashboard!$B$3</f>
        <v>1</v>
      </c>
      <c r="H57" s="13" t="n">
        <f aca="false">MAX(Dashboard!$B$4,G57*E57)</f>
        <v>0.49</v>
      </c>
      <c r="I57" s="13" t="n">
        <v>1</v>
      </c>
      <c r="J57" s="13"/>
      <c r="K57" s="13"/>
      <c r="L57" s="14"/>
      <c r="M57" s="13"/>
      <c r="N57" s="13"/>
      <c r="O57" s="14"/>
      <c r="P57" s="15"/>
      <c r="Q57" s="14"/>
    </row>
    <row r="58" customFormat="false" ht="25" hidden="false" customHeight="false" outlineLevel="0" collapsed="false">
      <c r="A58" s="10" t="s">
        <v>260</v>
      </c>
      <c r="B58" s="14" t="s">
        <v>261</v>
      </c>
      <c r="C58" s="10" t="s">
        <v>262</v>
      </c>
      <c r="D58" s="14" t="s">
        <v>91</v>
      </c>
      <c r="E58" s="16" t="n">
        <v>0.85</v>
      </c>
      <c r="F58" s="14" t="str">
        <f aca="false">IF(E58&gt;=0.8,"A",IF(E58&gt;=0.6,"B",IF(E58&gt;=0.4,"C",IF(E58&gt;=0.2,"D","E"))))</f>
        <v>A</v>
      </c>
      <c r="G58" s="13" t="n">
        <f aca="false">Dashboard!$B$3</f>
        <v>1</v>
      </c>
      <c r="H58" s="13" t="n">
        <f aca="false">MAX(Dashboard!$B$4,G58*E58)</f>
        <v>0.85</v>
      </c>
      <c r="I58" s="13" t="n">
        <v>1</v>
      </c>
      <c r="J58" s="13" t="n">
        <v>0.93</v>
      </c>
      <c r="K58" s="13" t="n">
        <f aca="false">H58*I58*J58</f>
        <v>0.7905</v>
      </c>
      <c r="L58" s="14" t="s">
        <v>263</v>
      </c>
      <c r="M58" s="13" t="n">
        <f aca="false">IF(L58="TRY_TIERS",IF(K58&lt;25,19,IF(K58&lt;35,29,IF(K58&lt;45,39,IF(K58&lt;60,49,79)))),
IF(L58="INR_TIERS",IF(K58&lt;40,29,IF(K58&lt;70,49,99)),
IF(L58="BRL_90",IF(K58&lt;3,2.9,IF(K58&lt;6,4.9,IF(K58&lt;10,6.9,9.9))),
IF(L58="IDR_000",ROUND(K58/1000,0)*1000,
IF(L58="JPY_00",ROUND(K58/100,0)*100,
IF(L58="KRW_000",ROUND(K58/1000,0)*1000,
IF(L58="VND_000",ROUND(K58/1000,0)*1000,
IF(OR(L58="USD_99",L58="EUR_99",L58="GBP_99",L58="CAD_99",L58="AUD_99",L58="PLN_99"),MAX(0.49,ROUND(K58,0)-0.01),
IF(L58="MXN_00",ROUND(K58,0),IF(L58="THB_00",ROUND(K58,0),ROUND(K58,2)))))))))))</f>
        <v>0.99</v>
      </c>
      <c r="N58" s="13" t="n">
        <f aca="false">M58/J58</f>
        <v>1.06451612903226</v>
      </c>
      <c r="O58" s="14" t="str">
        <f aca="false">IF(N58&lt;Dashboard!$B$4,"Below global min",IF(AND(E58&gt;=0.8,N58&lt;Dashboard!$B$5),"Raise high-PPP floor","OK"))</f>
        <v>Raise high-PPP floor</v>
      </c>
      <c r="P58" s="15" t="s">
        <v>264</v>
      </c>
      <c r="Q58" s="14" t="s">
        <v>265</v>
      </c>
    </row>
    <row r="59" customFormat="false" ht="15" hidden="false" customHeight="false" outlineLevel="0" collapsed="false">
      <c r="A59" s="10" t="s">
        <v>266</v>
      </c>
      <c r="B59" s="11" t="s">
        <v>267</v>
      </c>
      <c r="C59" s="10" t="s">
        <v>268</v>
      </c>
      <c r="D59" s="10" t="s">
        <v>269</v>
      </c>
      <c r="E59" s="10" t="n">
        <v>0.22</v>
      </c>
      <c r="F59" s="10" t="s">
        <v>66</v>
      </c>
      <c r="G59" s="13" t="n">
        <f aca="false">Dashboard!$B$3</f>
        <v>1</v>
      </c>
      <c r="H59" s="13" t="n">
        <f aca="false">MAX(Dashboard!$B$4,G59*E59)</f>
        <v>0.49</v>
      </c>
      <c r="I59" s="13" t="n">
        <v>1</v>
      </c>
      <c r="J59" s="13"/>
      <c r="K59" s="13"/>
      <c r="L59" s="14"/>
      <c r="M59" s="13"/>
      <c r="N59" s="13"/>
      <c r="O59" s="14"/>
      <c r="P59" s="15"/>
      <c r="Q59" s="14"/>
    </row>
    <row r="60" customFormat="false" ht="15" hidden="false" customHeight="false" outlineLevel="0" collapsed="false">
      <c r="A60" s="10" t="s">
        <v>270</v>
      </c>
      <c r="B60" s="11" t="s">
        <v>271</v>
      </c>
      <c r="C60" s="10" t="s">
        <v>272</v>
      </c>
      <c r="D60" s="10" t="s">
        <v>273</v>
      </c>
      <c r="E60" s="10" t="n">
        <v>0.9</v>
      </c>
      <c r="F60" s="10" t="s">
        <v>22</v>
      </c>
      <c r="G60" s="13" t="n">
        <f aca="false">Dashboard!$B$3</f>
        <v>1</v>
      </c>
      <c r="H60" s="13" t="n">
        <f aca="false">MAX(Dashboard!$B$4,G60*E60)</f>
        <v>0.9</v>
      </c>
      <c r="I60" s="13" t="n">
        <v>1</v>
      </c>
      <c r="J60" s="13"/>
      <c r="K60" s="13"/>
      <c r="L60" s="14"/>
      <c r="M60" s="13"/>
      <c r="N60" s="13"/>
      <c r="O60" s="14"/>
      <c r="P60" s="15"/>
      <c r="Q60" s="14"/>
    </row>
    <row r="61" customFormat="false" ht="15" hidden="false" customHeight="false" outlineLevel="0" collapsed="false">
      <c r="A61" s="10" t="s">
        <v>274</v>
      </c>
      <c r="B61" s="11" t="s">
        <v>275</v>
      </c>
      <c r="C61" s="10" t="s">
        <v>276</v>
      </c>
      <c r="D61" s="10" t="s">
        <v>91</v>
      </c>
      <c r="E61" s="10" t="n">
        <v>0.65</v>
      </c>
      <c r="F61" s="10" t="s">
        <v>26</v>
      </c>
      <c r="G61" s="13" t="n">
        <f aca="false">Dashboard!$B$3</f>
        <v>1</v>
      </c>
      <c r="H61" s="13" t="n">
        <f aca="false">MAX(Dashboard!$B$4,G61*E61)</f>
        <v>0.65</v>
      </c>
      <c r="I61" s="13" t="n">
        <v>1</v>
      </c>
      <c r="J61" s="13"/>
      <c r="K61" s="13"/>
      <c r="L61" s="14"/>
      <c r="M61" s="13"/>
      <c r="N61" s="13"/>
      <c r="O61" s="14"/>
      <c r="P61" s="15"/>
      <c r="Q61" s="14"/>
    </row>
    <row r="62" customFormat="false" ht="15" hidden="false" customHeight="false" outlineLevel="0" collapsed="false">
      <c r="A62" s="10" t="s">
        <v>277</v>
      </c>
      <c r="B62" s="11" t="s">
        <v>277</v>
      </c>
      <c r="C62" s="10" t="s">
        <v>278</v>
      </c>
      <c r="D62" s="10" t="s">
        <v>70</v>
      </c>
      <c r="E62" s="10" t="n">
        <v>0.55</v>
      </c>
      <c r="F62" s="10" t="s">
        <v>30</v>
      </c>
      <c r="G62" s="13" t="n">
        <f aca="false">Dashboard!$B$3</f>
        <v>1</v>
      </c>
      <c r="H62" s="13" t="n">
        <f aca="false">MAX(Dashboard!$B$4,G62*E62)</f>
        <v>0.55</v>
      </c>
      <c r="I62" s="13" t="n">
        <v>1</v>
      </c>
      <c r="J62" s="13"/>
      <c r="K62" s="13"/>
      <c r="L62" s="14"/>
      <c r="M62" s="13"/>
      <c r="N62" s="13"/>
      <c r="O62" s="14"/>
      <c r="P62" s="15"/>
      <c r="Q62" s="14"/>
    </row>
    <row r="63" customFormat="false" ht="15" hidden="false" customHeight="false" outlineLevel="0" collapsed="false">
      <c r="A63" s="10" t="s">
        <v>279</v>
      </c>
      <c r="B63" s="11" t="s">
        <v>279</v>
      </c>
      <c r="C63" s="10" t="s">
        <v>280</v>
      </c>
      <c r="D63" s="10" t="s">
        <v>281</v>
      </c>
      <c r="E63" s="10" t="n">
        <v>0.3</v>
      </c>
      <c r="F63" s="10" t="s">
        <v>57</v>
      </c>
      <c r="G63" s="13" t="n">
        <f aca="false">Dashboard!$B$3</f>
        <v>1</v>
      </c>
      <c r="H63" s="13" t="n">
        <f aca="false">MAX(Dashboard!$B$4,G63*E63)</f>
        <v>0.49</v>
      </c>
      <c r="I63" s="13" t="n">
        <v>1</v>
      </c>
      <c r="J63" s="13"/>
      <c r="K63" s="13"/>
      <c r="L63" s="14"/>
      <c r="M63" s="13"/>
      <c r="N63" s="13"/>
      <c r="O63" s="14"/>
      <c r="P63" s="15"/>
      <c r="Q63" s="14"/>
    </row>
    <row r="64" customFormat="false" ht="15" hidden="false" customHeight="false" outlineLevel="0" collapsed="false">
      <c r="A64" s="10" t="s">
        <v>282</v>
      </c>
      <c r="B64" s="11" t="s">
        <v>283</v>
      </c>
      <c r="C64" s="10" t="s">
        <v>284</v>
      </c>
      <c r="D64" s="10" t="s">
        <v>285</v>
      </c>
      <c r="E64" s="10" t="n">
        <v>0.15</v>
      </c>
      <c r="F64" s="10" t="s">
        <v>66</v>
      </c>
      <c r="G64" s="13" t="n">
        <f aca="false">Dashboard!$B$3</f>
        <v>1</v>
      </c>
      <c r="H64" s="13" t="n">
        <f aca="false">MAX(Dashboard!$B$4,G64*E64)</f>
        <v>0.49</v>
      </c>
      <c r="I64" s="13" t="n">
        <v>1</v>
      </c>
      <c r="J64" s="13"/>
      <c r="K64" s="13"/>
      <c r="L64" s="14"/>
      <c r="M64" s="13"/>
      <c r="N64" s="13"/>
      <c r="O64" s="14"/>
      <c r="P64" s="15"/>
      <c r="Q64" s="14"/>
    </row>
    <row r="65" customFormat="false" ht="15" hidden="false" customHeight="false" outlineLevel="0" collapsed="false">
      <c r="A65" s="10" t="s">
        <v>286</v>
      </c>
      <c r="B65" s="17" t="s">
        <v>287</v>
      </c>
      <c r="C65" s="10" t="s">
        <v>288</v>
      </c>
      <c r="D65" s="10" t="s">
        <v>119</v>
      </c>
      <c r="E65" s="10" t="n">
        <v>0.15</v>
      </c>
      <c r="F65" s="10" t="s">
        <v>66</v>
      </c>
      <c r="G65" s="13" t="n">
        <f aca="false">Dashboard!$B$3</f>
        <v>1</v>
      </c>
      <c r="H65" s="13" t="n">
        <f aca="false">MAX(Dashboard!$B$4,G65*E65)</f>
        <v>0.49</v>
      </c>
      <c r="I65" s="13" t="n">
        <v>1</v>
      </c>
      <c r="J65" s="13"/>
      <c r="K65" s="13"/>
      <c r="L65" s="14"/>
      <c r="M65" s="13"/>
      <c r="N65" s="13"/>
      <c r="O65" s="14"/>
      <c r="P65" s="15"/>
      <c r="Q65" s="14"/>
    </row>
    <row r="66" customFormat="false" ht="15" hidden="false" customHeight="false" outlineLevel="0" collapsed="false">
      <c r="A66" s="10" t="s">
        <v>289</v>
      </c>
      <c r="B66" s="11" t="s">
        <v>289</v>
      </c>
      <c r="C66" s="10" t="s">
        <v>290</v>
      </c>
      <c r="D66" s="10" t="s">
        <v>291</v>
      </c>
      <c r="E66" s="10" t="n">
        <v>0.15</v>
      </c>
      <c r="F66" s="10" t="s">
        <v>66</v>
      </c>
      <c r="G66" s="13" t="n">
        <f aca="false">Dashboard!$B$3</f>
        <v>1</v>
      </c>
      <c r="H66" s="13" t="n">
        <f aca="false">MAX(Dashboard!$B$4,G66*E66)</f>
        <v>0.49</v>
      </c>
      <c r="I66" s="13" t="n">
        <v>1</v>
      </c>
      <c r="J66" s="13"/>
      <c r="K66" s="13"/>
      <c r="L66" s="14"/>
      <c r="M66" s="13"/>
      <c r="N66" s="13"/>
      <c r="O66" s="14"/>
      <c r="P66" s="15"/>
      <c r="Q66" s="14"/>
    </row>
    <row r="67" customFormat="false" ht="15" hidden="false" customHeight="false" outlineLevel="0" collapsed="false">
      <c r="A67" s="10" t="s">
        <v>292</v>
      </c>
      <c r="B67" s="11" t="s">
        <v>292</v>
      </c>
      <c r="C67" s="10" t="s">
        <v>293</v>
      </c>
      <c r="D67" s="10" t="s">
        <v>294</v>
      </c>
      <c r="E67" s="10" t="n">
        <v>0.25</v>
      </c>
      <c r="F67" s="10" t="s">
        <v>66</v>
      </c>
      <c r="G67" s="13" t="n">
        <f aca="false">Dashboard!$B$3</f>
        <v>1</v>
      </c>
      <c r="H67" s="13" t="n">
        <f aca="false">MAX(Dashboard!$B$4,G67*E67)</f>
        <v>0.49</v>
      </c>
      <c r="I67" s="13" t="n">
        <v>1</v>
      </c>
      <c r="J67" s="13"/>
      <c r="K67" s="13"/>
      <c r="L67" s="14"/>
      <c r="M67" s="13"/>
      <c r="N67" s="13"/>
      <c r="O67" s="14"/>
      <c r="P67" s="15"/>
      <c r="Q67" s="14"/>
    </row>
    <row r="68" customFormat="false" ht="15" hidden="false" customHeight="false" outlineLevel="0" collapsed="false">
      <c r="A68" s="10" t="s">
        <v>295</v>
      </c>
      <c r="B68" s="11" t="s">
        <v>295</v>
      </c>
      <c r="C68" s="10" t="s">
        <v>296</v>
      </c>
      <c r="D68" s="10" t="s">
        <v>297</v>
      </c>
      <c r="E68" s="10" t="n">
        <v>0.95</v>
      </c>
      <c r="F68" s="10" t="s">
        <v>22</v>
      </c>
      <c r="G68" s="13" t="n">
        <f aca="false">Dashboard!$B$3</f>
        <v>1</v>
      </c>
      <c r="H68" s="13" t="n">
        <f aca="false">MAX(Dashboard!$B$4,G68*E68)</f>
        <v>0.95</v>
      </c>
      <c r="I68" s="13" t="n">
        <v>1</v>
      </c>
      <c r="J68" s="13"/>
      <c r="K68" s="13"/>
      <c r="L68" s="14"/>
      <c r="M68" s="13"/>
      <c r="N68" s="13"/>
      <c r="O68" s="14"/>
      <c r="P68" s="15"/>
      <c r="Q68" s="14"/>
    </row>
    <row r="69" customFormat="false" ht="15" hidden="false" customHeight="false" outlineLevel="0" collapsed="false">
      <c r="A69" s="10" t="s">
        <v>298</v>
      </c>
      <c r="B69" s="17" t="s">
        <v>299</v>
      </c>
      <c r="C69" s="10" t="s">
        <v>300</v>
      </c>
      <c r="D69" s="10" t="s">
        <v>301</v>
      </c>
      <c r="E69" s="10" t="n">
        <v>0.5</v>
      </c>
      <c r="F69" s="10" t="s">
        <v>30</v>
      </c>
      <c r="G69" s="13" t="n">
        <f aca="false">Dashboard!$B$3</f>
        <v>1</v>
      </c>
      <c r="H69" s="13" t="n">
        <f aca="false">MAX(Dashboard!$B$4,G69*E69)</f>
        <v>0.5</v>
      </c>
      <c r="I69" s="13" t="n">
        <v>1</v>
      </c>
      <c r="J69" s="13"/>
      <c r="K69" s="13"/>
      <c r="L69" s="14"/>
      <c r="M69" s="13"/>
      <c r="N69" s="13"/>
      <c r="O69" s="14"/>
      <c r="P69" s="15"/>
      <c r="Q69" s="14"/>
    </row>
    <row r="70" customFormat="false" ht="15" hidden="false" customHeight="false" outlineLevel="0" collapsed="false">
      <c r="A70" s="10" t="s">
        <v>302</v>
      </c>
      <c r="B70" s="17" t="s">
        <v>303</v>
      </c>
      <c r="C70" s="10" t="s">
        <v>304</v>
      </c>
      <c r="D70" s="10" t="s">
        <v>305</v>
      </c>
      <c r="E70" s="10" t="n">
        <v>0.95</v>
      </c>
      <c r="F70" s="10" t="s">
        <v>22</v>
      </c>
      <c r="G70" s="13" t="n">
        <f aca="false">Dashboard!$B$3</f>
        <v>1</v>
      </c>
      <c r="H70" s="13" t="n">
        <f aca="false">MAX(Dashboard!$B$4,G70*E70)</f>
        <v>0.95</v>
      </c>
      <c r="I70" s="13" t="n">
        <v>1</v>
      </c>
      <c r="J70" s="13"/>
      <c r="K70" s="13"/>
      <c r="L70" s="14"/>
      <c r="M70" s="13"/>
      <c r="N70" s="13"/>
      <c r="O70" s="14"/>
      <c r="P70" s="15"/>
      <c r="Q70" s="14"/>
    </row>
    <row r="71" customFormat="false" ht="25" hidden="false" customHeight="false" outlineLevel="0" collapsed="false">
      <c r="A71" s="10" t="s">
        <v>306</v>
      </c>
      <c r="B71" s="14" t="s">
        <v>307</v>
      </c>
      <c r="C71" s="10" t="s">
        <v>308</v>
      </c>
      <c r="D71" s="14" t="s">
        <v>309</v>
      </c>
      <c r="E71" s="16" t="n">
        <v>0.2</v>
      </c>
      <c r="F71" s="14" t="str">
        <f aca="false">IF(E71&gt;=0.8,"A",IF(E71&gt;=0.6,"B",IF(E71&gt;=0.4,"C",IF(E71&gt;=0.2,"D","E"))))</f>
        <v>D</v>
      </c>
      <c r="G71" s="13" t="n">
        <f aca="false">Dashboard!$B$3</f>
        <v>1</v>
      </c>
      <c r="H71" s="13" t="n">
        <f aca="false">MAX(Dashboard!$B$4,G71*E71)</f>
        <v>0.49</v>
      </c>
      <c r="I71" s="18" t="n">
        <v>0.8</v>
      </c>
      <c r="J71" s="13" t="n">
        <v>83</v>
      </c>
      <c r="K71" s="13" t="n">
        <f aca="false">H71*I71*J71</f>
        <v>32.536</v>
      </c>
      <c r="L71" s="14" t="s">
        <v>310</v>
      </c>
      <c r="M71" s="13" t="n">
        <f aca="false">IF(L71="TRY_TIERS",IF(K71&lt;25,19,IF(K71&lt;35,29,IF(K71&lt;45,39,IF(K71&lt;60,49,79)))),
IF(L71="INR_TIERS",IF(K71&lt;40,29,IF(K71&lt;70,49,99)),
IF(L71="BRL_90",IF(K71&lt;3,2.9,IF(K71&lt;6,4.9,IF(K71&lt;10,6.9,9.9))),
IF(L71="IDR_000",ROUND(K71/1000,0)*1000,
IF(L71="JPY_00",ROUND(K71/100,0)*100,
IF(L71="KRW_000",ROUND(K71/1000,0)*1000,
IF(L71="VND_000",ROUND(K71/1000,0)*1000,
IF(OR(L71="USD_99",L71="EUR_99",L71="GBP_99",L71="CAD_99",L71="AUD_99",L71="PLN_99"),MAX(0.49,ROUND(K71,0)-0.01),
IF(L71="MXN_00",ROUND(K71,0),IF(L71="THB_00",ROUND(K71,0),ROUND(K71,2)))))))))))</f>
        <v>29</v>
      </c>
      <c r="N71" s="13" t="n">
        <f aca="false">M71/J71</f>
        <v>0.349397590361446</v>
      </c>
      <c r="O71" s="14" t="str">
        <f aca="false">IF(N71&lt;Dashboard!$B$4,"Below global min",IF(AND(E71&gt;=0.8,N71&lt;Dashboard!$B$5),"Raise high-PPP floor","OK"))</f>
        <v>Below global min</v>
      </c>
      <c r="P71" s="15" t="s">
        <v>311</v>
      </c>
      <c r="Q71" s="14" t="s">
        <v>312</v>
      </c>
    </row>
    <row r="72" customFormat="false" ht="25" hidden="false" customHeight="false" outlineLevel="0" collapsed="false">
      <c r="A72" s="10" t="s">
        <v>313</v>
      </c>
      <c r="B72" s="14" t="s">
        <v>314</v>
      </c>
      <c r="C72" s="10" t="s">
        <v>315</v>
      </c>
      <c r="D72" s="14" t="s">
        <v>316</v>
      </c>
      <c r="E72" s="16" t="n">
        <v>0.25</v>
      </c>
      <c r="F72" s="14" t="str">
        <f aca="false">IF(E72&gt;=0.8,"A",IF(E72&gt;=0.6,"B",IF(E72&gt;=0.4,"C",IF(E72&gt;=0.2,"D","E"))))</f>
        <v>D</v>
      </c>
      <c r="G72" s="13" t="n">
        <f aca="false">Dashboard!$B$3</f>
        <v>1</v>
      </c>
      <c r="H72" s="13" t="n">
        <f aca="false">MAX(Dashboard!$B$4,G72*E72)</f>
        <v>0.49</v>
      </c>
      <c r="I72" s="18" t="n">
        <v>0.8</v>
      </c>
      <c r="J72" s="13" t="n">
        <v>15500</v>
      </c>
      <c r="K72" s="13" t="n">
        <f aca="false">H72*I72*J72</f>
        <v>6076</v>
      </c>
      <c r="L72" s="14" t="s">
        <v>317</v>
      </c>
      <c r="M72" s="13" t="n">
        <f aca="false">IF(L72="TRY_TIERS",IF(K72&lt;25,19,IF(K72&lt;35,29,IF(K72&lt;45,39,IF(K72&lt;60,49,79)))),
IF(L72="INR_TIERS",IF(K72&lt;40,29,IF(K72&lt;70,49,99)),
IF(L72="BRL_90",IF(K72&lt;3,2.9,IF(K72&lt;6,4.9,IF(K72&lt;10,6.9,9.9))),
IF(L72="IDR_000",ROUND(K72/1000,0)*1000,
IF(L72="JPY_00",ROUND(K72/100,0)*100,
IF(L72="KRW_000",ROUND(K72/1000,0)*1000,
IF(L72="VND_000",ROUND(K72/1000,0)*1000,
IF(OR(L72="USD_99",L72="EUR_99",L72="GBP_99",L72="CAD_99",L72="AUD_99",L72="PLN_99"),MAX(0.49,ROUND(K72,0)-0.01),
IF(L72="MXN_00",ROUND(K72,0),IF(L72="THB_00",ROUND(K72,0),ROUND(K72,2)))))))))))</f>
        <v>6000</v>
      </c>
      <c r="N72" s="13" t="n">
        <f aca="false">M72/J72</f>
        <v>0.387096774193548</v>
      </c>
      <c r="O72" s="14" t="str">
        <f aca="false">IF(N72&lt;Dashboard!$B$4,"Below global min",IF(AND(E72&gt;=0.8,N72&lt;Dashboard!$B$5),"Raise high-PPP floor","OK"))</f>
        <v>Below global min</v>
      </c>
      <c r="P72" s="15" t="s">
        <v>318</v>
      </c>
      <c r="Q72" s="14"/>
    </row>
    <row r="73" customFormat="false" ht="15" hidden="false" customHeight="false" outlineLevel="0" collapsed="false">
      <c r="A73" s="10" t="s">
        <v>319</v>
      </c>
      <c r="B73" s="11" t="s">
        <v>320</v>
      </c>
      <c r="C73" s="10" t="s">
        <v>321</v>
      </c>
      <c r="D73" s="10" t="s">
        <v>322</v>
      </c>
      <c r="E73" s="10" t="n">
        <v>0.3</v>
      </c>
      <c r="F73" s="10" t="s">
        <v>57</v>
      </c>
      <c r="G73" s="13" t="n">
        <f aca="false">Dashboard!$B$3</f>
        <v>1</v>
      </c>
      <c r="H73" s="13" t="n">
        <f aca="false">MAX(Dashboard!$B$4,G73*E73)</f>
        <v>0.49</v>
      </c>
      <c r="I73" s="13" t="n">
        <v>1</v>
      </c>
      <c r="J73" s="13"/>
      <c r="K73" s="13"/>
      <c r="L73" s="14"/>
      <c r="M73" s="13"/>
      <c r="N73" s="13"/>
      <c r="O73" s="14"/>
      <c r="P73" s="15"/>
      <c r="Q73" s="14"/>
    </row>
    <row r="74" customFormat="false" ht="15" hidden="false" customHeight="false" outlineLevel="0" collapsed="false">
      <c r="A74" s="10" t="s">
        <v>323</v>
      </c>
      <c r="B74" s="11" t="s">
        <v>324</v>
      </c>
      <c r="C74" s="10" t="s">
        <v>325</v>
      </c>
      <c r="D74" s="10" t="s">
        <v>91</v>
      </c>
      <c r="E74" s="10" t="n">
        <v>0.9</v>
      </c>
      <c r="F74" s="10" t="s">
        <v>22</v>
      </c>
      <c r="G74" s="13" t="n">
        <f aca="false">Dashboard!$B$3</f>
        <v>1</v>
      </c>
      <c r="H74" s="13" t="n">
        <f aca="false">MAX(Dashboard!$B$4,G74*E74)</f>
        <v>0.9</v>
      </c>
      <c r="I74" s="13" t="n">
        <v>1</v>
      </c>
      <c r="J74" s="13"/>
      <c r="K74" s="13"/>
      <c r="L74" s="14"/>
      <c r="M74" s="13"/>
      <c r="N74" s="13"/>
      <c r="O74" s="14"/>
      <c r="P74" s="15"/>
      <c r="Q74" s="14"/>
    </row>
    <row r="75" customFormat="false" ht="15" hidden="false" customHeight="false" outlineLevel="0" collapsed="false">
      <c r="A75" s="10" t="s">
        <v>326</v>
      </c>
      <c r="B75" s="11" t="s">
        <v>327</v>
      </c>
      <c r="C75" s="10" t="s">
        <v>328</v>
      </c>
      <c r="D75" s="10" t="s">
        <v>329</v>
      </c>
      <c r="E75" s="10" t="n">
        <v>0.9</v>
      </c>
      <c r="F75" s="10" t="s">
        <v>22</v>
      </c>
      <c r="G75" s="13" t="n">
        <f aca="false">Dashboard!$B$3</f>
        <v>1</v>
      </c>
      <c r="H75" s="13" t="n">
        <f aca="false">MAX(Dashboard!$B$4,G75*E75)</f>
        <v>0.9</v>
      </c>
      <c r="I75" s="13" t="n">
        <v>1</v>
      </c>
      <c r="J75" s="13"/>
      <c r="K75" s="13"/>
      <c r="L75" s="14"/>
      <c r="M75" s="13"/>
      <c r="N75" s="13"/>
      <c r="O75" s="14"/>
      <c r="P75" s="15"/>
      <c r="Q75" s="14"/>
    </row>
    <row r="76" customFormat="false" ht="15" hidden="false" customHeight="false" outlineLevel="0" collapsed="false">
      <c r="A76" s="10" t="s">
        <v>330</v>
      </c>
      <c r="B76" s="11" t="s">
        <v>331</v>
      </c>
      <c r="C76" s="10" t="s">
        <v>332</v>
      </c>
      <c r="D76" s="10" t="s">
        <v>91</v>
      </c>
      <c r="E76" s="10" t="n">
        <v>0.78</v>
      </c>
      <c r="F76" s="10" t="s">
        <v>26</v>
      </c>
      <c r="G76" s="13" t="n">
        <f aca="false">Dashboard!$B$3</f>
        <v>1</v>
      </c>
      <c r="H76" s="13" t="n">
        <f aca="false">MAX(Dashboard!$B$4,G76*E76)</f>
        <v>0.78</v>
      </c>
      <c r="I76" s="13" t="n">
        <v>1</v>
      </c>
      <c r="J76" s="13"/>
      <c r="K76" s="13"/>
      <c r="L76" s="14"/>
      <c r="M76" s="13"/>
      <c r="N76" s="13"/>
      <c r="O76" s="14"/>
      <c r="P76" s="15"/>
      <c r="Q76" s="14"/>
    </row>
    <row r="77" customFormat="false" ht="15" hidden="false" customHeight="false" outlineLevel="0" collapsed="false">
      <c r="A77" s="10" t="s">
        <v>333</v>
      </c>
      <c r="B77" s="11" t="s">
        <v>334</v>
      </c>
      <c r="C77" s="10" t="s">
        <v>335</v>
      </c>
      <c r="D77" s="10" t="s">
        <v>336</v>
      </c>
      <c r="E77" s="10" t="n">
        <v>0.45</v>
      </c>
      <c r="F77" s="10" t="s">
        <v>30</v>
      </c>
      <c r="G77" s="13" t="n">
        <f aca="false">Dashboard!$B$3</f>
        <v>1</v>
      </c>
      <c r="H77" s="13" t="n">
        <f aca="false">MAX(Dashboard!$B$4,G77*E77)</f>
        <v>0.49</v>
      </c>
      <c r="I77" s="13" t="n">
        <v>1</v>
      </c>
      <c r="J77" s="13"/>
      <c r="K77" s="13"/>
      <c r="L77" s="14"/>
      <c r="M77" s="13"/>
      <c r="N77" s="13"/>
      <c r="O77" s="14"/>
      <c r="P77" s="15"/>
      <c r="Q77" s="14"/>
    </row>
    <row r="78" customFormat="false" ht="25" hidden="false" customHeight="false" outlineLevel="0" collapsed="false">
      <c r="A78" s="10" t="s">
        <v>337</v>
      </c>
      <c r="B78" s="14" t="s">
        <v>338</v>
      </c>
      <c r="C78" s="10" t="s">
        <v>339</v>
      </c>
      <c r="D78" s="14" t="s">
        <v>340</v>
      </c>
      <c r="E78" s="16" t="n">
        <v>0.75</v>
      </c>
      <c r="F78" s="14" t="str">
        <f aca="false">IF(E78&gt;=0.8,"A",IF(E78&gt;=0.6,"B",IF(E78&gt;=0.4,"C",IF(E78&gt;=0.2,"D","E"))))</f>
        <v>B</v>
      </c>
      <c r="G78" s="13" t="n">
        <f aca="false">Dashboard!$B$3</f>
        <v>1</v>
      </c>
      <c r="H78" s="13" t="n">
        <f aca="false">MAX(Dashboard!$B$4,G78*E78)</f>
        <v>0.75</v>
      </c>
      <c r="I78" s="13" t="n">
        <v>1</v>
      </c>
      <c r="J78" s="13" t="n">
        <v>150</v>
      </c>
      <c r="K78" s="13" t="n">
        <f aca="false">H78*I78*J78</f>
        <v>112.5</v>
      </c>
      <c r="L78" s="14" t="s">
        <v>341</v>
      </c>
      <c r="M78" s="13" t="n">
        <f aca="false">IF(L78="TRY_TIERS",IF(K78&lt;25,19,IF(K78&lt;35,29,IF(K78&lt;45,39,IF(K78&lt;60,49,79)))),
IF(L78="INR_TIERS",IF(K78&lt;40,29,IF(K78&lt;70,49,99)),
IF(L78="BRL_90",IF(K78&lt;3,2.9,IF(K78&lt;6,4.9,IF(K78&lt;10,6.9,9.9))),
IF(L78="IDR_000",ROUND(K78/1000,0)*1000,
IF(L78="JPY_00",ROUND(K78/100,0)*100,
IF(L78="KRW_000",ROUND(K78/1000,0)*1000,
IF(L78="VND_000",ROUND(K78/1000,0)*1000,
IF(OR(L78="USD_99",L78="EUR_99",L78="GBP_99",L78="CAD_99",L78="AUD_99",L78="PLN_99"),MAX(0.49,ROUND(K78,0)-0.01),
IF(L78="MXN_00",ROUND(K78,0),IF(L78="THB_00",ROUND(K78,0),ROUND(K78,2)))))))))))</f>
        <v>100</v>
      </c>
      <c r="N78" s="13" t="n">
        <f aca="false">M78/J78</f>
        <v>0.666666666666667</v>
      </c>
      <c r="O78" s="14" t="str">
        <f aca="false">IF(N78&lt;Dashboard!$B$4,"Below global min",IF(AND(E78&gt;=0.8,N78&lt;Dashboard!$B$5),"Raise high-PPP floor","OK"))</f>
        <v>OK</v>
      </c>
      <c r="P78" s="15" t="s">
        <v>342</v>
      </c>
      <c r="Q78" s="14"/>
    </row>
    <row r="79" customFormat="false" ht="15" hidden="false" customHeight="false" outlineLevel="0" collapsed="false">
      <c r="A79" s="10" t="s">
        <v>343</v>
      </c>
      <c r="B79" s="11" t="s">
        <v>344</v>
      </c>
      <c r="C79" s="10" t="s">
        <v>345</v>
      </c>
      <c r="D79" s="10" t="s">
        <v>346</v>
      </c>
      <c r="E79" s="10" t="n">
        <v>0.45</v>
      </c>
      <c r="F79" s="10" t="s">
        <v>30</v>
      </c>
      <c r="G79" s="13" t="n">
        <f aca="false">Dashboard!$B$3</f>
        <v>1</v>
      </c>
      <c r="H79" s="13" t="n">
        <f aca="false">MAX(Dashboard!$B$4,G79*E79)</f>
        <v>0.49</v>
      </c>
      <c r="I79" s="13" t="n">
        <v>1</v>
      </c>
      <c r="J79" s="13"/>
      <c r="K79" s="13"/>
      <c r="L79" s="14"/>
      <c r="M79" s="13"/>
      <c r="N79" s="13"/>
      <c r="O79" s="14"/>
      <c r="P79" s="15"/>
      <c r="Q79" s="14"/>
    </row>
    <row r="80" customFormat="false" ht="15" hidden="false" customHeight="false" outlineLevel="0" collapsed="false">
      <c r="A80" s="10" t="s">
        <v>347</v>
      </c>
      <c r="B80" s="17" t="s">
        <v>348</v>
      </c>
      <c r="C80" s="10" t="s">
        <v>349</v>
      </c>
      <c r="D80" s="10" t="s">
        <v>350</v>
      </c>
      <c r="E80" s="10" t="n">
        <v>0.45</v>
      </c>
      <c r="F80" s="10" t="s">
        <v>30</v>
      </c>
      <c r="G80" s="13" t="n">
        <f aca="false">Dashboard!$B$3</f>
        <v>1</v>
      </c>
      <c r="H80" s="13" t="n">
        <f aca="false">MAX(Dashboard!$B$4,G80*E80)</f>
        <v>0.49</v>
      </c>
      <c r="I80" s="13" t="n">
        <v>1</v>
      </c>
      <c r="J80" s="13"/>
      <c r="K80" s="13"/>
      <c r="L80" s="14"/>
      <c r="M80" s="13"/>
      <c r="N80" s="13"/>
      <c r="O80" s="14"/>
      <c r="P80" s="15"/>
      <c r="Q80" s="14"/>
    </row>
    <row r="81" customFormat="false" ht="15" hidden="false" customHeight="false" outlineLevel="0" collapsed="false">
      <c r="A81" s="10" t="s">
        <v>351</v>
      </c>
      <c r="B81" s="11" t="s">
        <v>351</v>
      </c>
      <c r="C81" s="10" t="s">
        <v>352</v>
      </c>
      <c r="D81" s="10" t="s">
        <v>353</v>
      </c>
      <c r="E81" s="10" t="n">
        <v>0.22</v>
      </c>
      <c r="F81" s="10" t="s">
        <v>66</v>
      </c>
      <c r="G81" s="13" t="n">
        <f aca="false">Dashboard!$B$3</f>
        <v>1</v>
      </c>
      <c r="H81" s="13" t="n">
        <f aca="false">MAX(Dashboard!$B$4,G81*E81)</f>
        <v>0.49</v>
      </c>
      <c r="I81" s="13" t="n">
        <v>1</v>
      </c>
      <c r="J81" s="13"/>
      <c r="K81" s="13"/>
      <c r="L81" s="14"/>
      <c r="M81" s="13"/>
      <c r="N81" s="13"/>
      <c r="O81" s="14"/>
      <c r="P81" s="15"/>
      <c r="Q81" s="14"/>
    </row>
    <row r="82" customFormat="false" ht="15" hidden="false" customHeight="false" outlineLevel="0" collapsed="false">
      <c r="A82" s="10" t="s">
        <v>354</v>
      </c>
      <c r="B82" s="11" t="s">
        <v>355</v>
      </c>
      <c r="C82" s="10" t="s">
        <v>356</v>
      </c>
      <c r="D82" s="10" t="s">
        <v>357</v>
      </c>
      <c r="E82" s="10" t="n">
        <v>0.9</v>
      </c>
      <c r="F82" s="10" t="s">
        <v>22</v>
      </c>
      <c r="G82" s="13" t="n">
        <f aca="false">Dashboard!$B$3</f>
        <v>1</v>
      </c>
      <c r="H82" s="13" t="n">
        <f aca="false">MAX(Dashboard!$B$4,G82*E82)</f>
        <v>0.9</v>
      </c>
      <c r="I82" s="13" t="n">
        <v>1</v>
      </c>
      <c r="J82" s="13"/>
      <c r="K82" s="13"/>
      <c r="L82" s="14"/>
      <c r="M82" s="13"/>
      <c r="N82" s="13"/>
      <c r="O82" s="14"/>
      <c r="P82" s="15"/>
      <c r="Q82" s="14"/>
    </row>
    <row r="83" customFormat="false" ht="15" hidden="false" customHeight="false" outlineLevel="0" collapsed="false">
      <c r="A83" s="10" t="s">
        <v>358</v>
      </c>
      <c r="B83" s="17" t="s">
        <v>359</v>
      </c>
      <c r="C83" s="10" t="s">
        <v>360</v>
      </c>
      <c r="D83" s="10" t="s">
        <v>361</v>
      </c>
      <c r="E83" s="10" t="n">
        <v>0.25</v>
      </c>
      <c r="F83" s="10" t="s">
        <v>57</v>
      </c>
      <c r="G83" s="13" t="n">
        <f aca="false">Dashboard!$B$3</f>
        <v>1</v>
      </c>
      <c r="H83" s="13" t="n">
        <f aca="false">MAX(Dashboard!$B$4,G83*E83)</f>
        <v>0.49</v>
      </c>
      <c r="I83" s="13" t="n">
        <v>1</v>
      </c>
      <c r="J83" s="13"/>
      <c r="K83" s="13"/>
      <c r="L83" s="14"/>
      <c r="M83" s="13"/>
      <c r="N83" s="13"/>
      <c r="O83" s="14"/>
      <c r="P83" s="15"/>
      <c r="Q83" s="14"/>
    </row>
    <row r="84" customFormat="false" ht="26" hidden="false" customHeight="false" outlineLevel="0" collapsed="false">
      <c r="A84" s="10" t="s">
        <v>362</v>
      </c>
      <c r="B84" s="17" t="s">
        <v>363</v>
      </c>
      <c r="C84" s="10" t="s">
        <v>364</v>
      </c>
      <c r="D84" s="10" t="s">
        <v>365</v>
      </c>
      <c r="E84" s="10" t="n">
        <v>0.18</v>
      </c>
      <c r="F84" s="10" t="s">
        <v>66</v>
      </c>
      <c r="G84" s="13" t="n">
        <f aca="false">Dashboard!$B$3</f>
        <v>1</v>
      </c>
      <c r="H84" s="13" t="n">
        <f aca="false">MAX(Dashboard!$B$4,G84*E84)</f>
        <v>0.49</v>
      </c>
      <c r="I84" s="13" t="n">
        <v>1</v>
      </c>
      <c r="J84" s="13"/>
      <c r="K84" s="13"/>
      <c r="L84" s="14"/>
      <c r="M84" s="13"/>
      <c r="N84" s="13"/>
      <c r="O84" s="14"/>
      <c r="P84" s="15"/>
      <c r="Q84" s="14"/>
    </row>
    <row r="85" customFormat="false" ht="15" hidden="false" customHeight="false" outlineLevel="0" collapsed="false">
      <c r="A85" s="10" t="s">
        <v>366</v>
      </c>
      <c r="B85" s="11" t="s">
        <v>367</v>
      </c>
      <c r="C85" s="10" t="s">
        <v>368</v>
      </c>
      <c r="D85" s="10" t="s">
        <v>91</v>
      </c>
      <c r="E85" s="10" t="n">
        <v>0.6</v>
      </c>
      <c r="F85" s="10" t="s">
        <v>30</v>
      </c>
      <c r="G85" s="13" t="n">
        <f aca="false">Dashboard!$B$3</f>
        <v>1</v>
      </c>
      <c r="H85" s="13" t="n">
        <f aca="false">MAX(Dashboard!$B$4,G85*E85)</f>
        <v>0.6</v>
      </c>
      <c r="I85" s="13" t="n">
        <v>1</v>
      </c>
      <c r="J85" s="13"/>
      <c r="K85" s="13"/>
      <c r="L85" s="14"/>
      <c r="M85" s="13"/>
      <c r="N85" s="13"/>
      <c r="O85" s="14"/>
      <c r="P85" s="15"/>
      <c r="Q85" s="14"/>
    </row>
    <row r="86" customFormat="false" ht="15" hidden="false" customHeight="false" outlineLevel="0" collapsed="false">
      <c r="A86" s="10" t="s">
        <v>369</v>
      </c>
      <c r="B86" s="11" t="s">
        <v>370</v>
      </c>
      <c r="C86" s="10" t="s">
        <v>371</v>
      </c>
      <c r="D86" s="10" t="s">
        <v>372</v>
      </c>
      <c r="E86" s="10" t="n">
        <v>0.4</v>
      </c>
      <c r="F86" s="10" t="s">
        <v>57</v>
      </c>
      <c r="G86" s="13" t="n">
        <f aca="false">Dashboard!$B$3</f>
        <v>1</v>
      </c>
      <c r="H86" s="13" t="n">
        <f aca="false">MAX(Dashboard!$B$4,G86*E86)</f>
        <v>0.49</v>
      </c>
      <c r="I86" s="13" t="n">
        <v>1</v>
      </c>
      <c r="J86" s="13"/>
      <c r="K86" s="13"/>
      <c r="L86" s="14"/>
      <c r="M86" s="13"/>
      <c r="N86" s="13"/>
      <c r="O86" s="14"/>
      <c r="P86" s="15"/>
      <c r="Q86" s="14"/>
    </row>
    <row r="87" customFormat="false" ht="15" hidden="false" customHeight="false" outlineLevel="0" collapsed="false">
      <c r="A87" s="10" t="s">
        <v>373</v>
      </c>
      <c r="B87" s="11" t="s">
        <v>374</v>
      </c>
      <c r="C87" s="10" t="s">
        <v>375</v>
      </c>
      <c r="D87" s="10" t="s">
        <v>376</v>
      </c>
      <c r="E87" s="10" t="n">
        <v>0.18</v>
      </c>
      <c r="F87" s="10" t="s">
        <v>66</v>
      </c>
      <c r="G87" s="13" t="n">
        <f aca="false">Dashboard!$B$3</f>
        <v>1</v>
      </c>
      <c r="H87" s="13" t="n">
        <f aca="false">MAX(Dashboard!$B$4,G87*E87)</f>
        <v>0.49</v>
      </c>
      <c r="I87" s="13" t="n">
        <v>1</v>
      </c>
      <c r="J87" s="13"/>
      <c r="K87" s="13"/>
      <c r="L87" s="14"/>
      <c r="M87" s="13"/>
      <c r="N87" s="13"/>
      <c r="O87" s="14"/>
      <c r="P87" s="15"/>
      <c r="Q87" s="14"/>
    </row>
    <row r="88" customFormat="false" ht="15" hidden="false" customHeight="false" outlineLevel="0" collapsed="false">
      <c r="A88" s="10" t="s">
        <v>377</v>
      </c>
      <c r="B88" s="11" t="s">
        <v>377</v>
      </c>
      <c r="C88" s="10" t="s">
        <v>378</v>
      </c>
      <c r="D88" s="10" t="s">
        <v>379</v>
      </c>
      <c r="E88" s="10" t="n">
        <v>0.35</v>
      </c>
      <c r="F88" s="10" t="s">
        <v>57</v>
      </c>
      <c r="G88" s="13" t="n">
        <f aca="false">Dashboard!$B$3</f>
        <v>1</v>
      </c>
      <c r="H88" s="13" t="n">
        <f aca="false">MAX(Dashboard!$B$4,G88*E88)</f>
        <v>0.49</v>
      </c>
      <c r="I88" s="13" t="n">
        <v>1</v>
      </c>
      <c r="J88" s="13"/>
      <c r="K88" s="13"/>
      <c r="L88" s="14"/>
      <c r="M88" s="13"/>
      <c r="N88" s="13"/>
      <c r="O88" s="14"/>
      <c r="P88" s="15"/>
      <c r="Q88" s="14"/>
    </row>
    <row r="89" customFormat="false" ht="15" hidden="false" customHeight="false" outlineLevel="0" collapsed="false">
      <c r="A89" s="10" t="s">
        <v>380</v>
      </c>
      <c r="B89" s="17" t="s">
        <v>381</v>
      </c>
      <c r="C89" s="10" t="s">
        <v>382</v>
      </c>
      <c r="D89" s="10" t="s">
        <v>383</v>
      </c>
      <c r="E89" s="10" t="n">
        <v>1</v>
      </c>
      <c r="F89" s="10" t="s">
        <v>22</v>
      </c>
      <c r="G89" s="13" t="n">
        <f aca="false">Dashboard!$B$3</f>
        <v>1</v>
      </c>
      <c r="H89" s="13" t="n">
        <f aca="false">MAX(Dashboard!$B$4,G89*E89)</f>
        <v>1</v>
      </c>
      <c r="I89" s="13" t="n">
        <v>1</v>
      </c>
      <c r="J89" s="13"/>
      <c r="K89" s="13"/>
      <c r="L89" s="14"/>
      <c r="M89" s="13"/>
      <c r="N89" s="13"/>
      <c r="O89" s="14"/>
      <c r="P89" s="15"/>
      <c r="Q89" s="14"/>
    </row>
    <row r="90" customFormat="false" ht="15" hidden="false" customHeight="false" outlineLevel="0" collapsed="false">
      <c r="A90" s="10" t="s">
        <v>384</v>
      </c>
      <c r="B90" s="11" t="s">
        <v>385</v>
      </c>
      <c r="C90" s="10" t="s">
        <v>386</v>
      </c>
      <c r="D90" s="10" t="s">
        <v>91</v>
      </c>
      <c r="E90" s="10" t="n">
        <v>0.65</v>
      </c>
      <c r="F90" s="10" t="s">
        <v>26</v>
      </c>
      <c r="G90" s="13" t="n">
        <f aca="false">Dashboard!$B$3</f>
        <v>1</v>
      </c>
      <c r="H90" s="13" t="n">
        <f aca="false">MAX(Dashboard!$B$4,G90*E90)</f>
        <v>0.65</v>
      </c>
      <c r="I90" s="13" t="n">
        <v>1</v>
      </c>
      <c r="J90" s="13"/>
      <c r="K90" s="13"/>
      <c r="L90" s="14"/>
      <c r="M90" s="13"/>
      <c r="N90" s="13"/>
      <c r="O90" s="14"/>
      <c r="P90" s="15"/>
      <c r="Q90" s="14"/>
    </row>
    <row r="91" customFormat="false" ht="15" hidden="false" customHeight="false" outlineLevel="0" collapsed="false">
      <c r="A91" s="10" t="s">
        <v>387</v>
      </c>
      <c r="B91" s="17" t="s">
        <v>388</v>
      </c>
      <c r="C91" s="10" t="s">
        <v>389</v>
      </c>
      <c r="D91" s="10" t="s">
        <v>91</v>
      </c>
      <c r="E91" s="10" t="n">
        <v>1</v>
      </c>
      <c r="F91" s="10" t="s">
        <v>22</v>
      </c>
      <c r="G91" s="13" t="n">
        <f aca="false">Dashboard!$B$3</f>
        <v>1</v>
      </c>
      <c r="H91" s="13" t="n">
        <f aca="false">MAX(Dashboard!$B$4,G91*E91)</f>
        <v>1</v>
      </c>
      <c r="I91" s="13" t="n">
        <v>1</v>
      </c>
      <c r="J91" s="13"/>
      <c r="K91" s="13"/>
      <c r="L91" s="14"/>
      <c r="M91" s="13"/>
      <c r="N91" s="13"/>
      <c r="O91" s="14"/>
      <c r="P91" s="15"/>
      <c r="Q91" s="14"/>
    </row>
    <row r="92" customFormat="false" ht="15" hidden="false" customHeight="false" outlineLevel="0" collapsed="false">
      <c r="A92" s="10" t="s">
        <v>390</v>
      </c>
      <c r="B92" s="17" t="s">
        <v>391</v>
      </c>
      <c r="C92" s="10" t="s">
        <v>392</v>
      </c>
      <c r="D92" s="10" t="s">
        <v>393</v>
      </c>
      <c r="E92" s="10" t="n">
        <v>0.85</v>
      </c>
      <c r="F92" s="10" t="s">
        <v>22</v>
      </c>
      <c r="G92" s="13" t="n">
        <f aca="false">Dashboard!$B$3</f>
        <v>1</v>
      </c>
      <c r="H92" s="13" t="n">
        <f aca="false">MAX(Dashboard!$B$4,G92*E92)</f>
        <v>0.85</v>
      </c>
      <c r="I92" s="13" t="n">
        <v>1</v>
      </c>
      <c r="J92" s="13"/>
      <c r="K92" s="13"/>
      <c r="L92" s="14"/>
      <c r="M92" s="13"/>
      <c r="N92" s="13"/>
      <c r="O92" s="14"/>
      <c r="P92" s="15"/>
      <c r="Q92" s="14"/>
    </row>
    <row r="93" customFormat="false" ht="15" hidden="false" customHeight="false" outlineLevel="0" collapsed="false">
      <c r="A93" s="10" t="s">
        <v>394</v>
      </c>
      <c r="B93" s="17" t="s">
        <v>395</v>
      </c>
      <c r="C93" s="10" t="s">
        <v>396</v>
      </c>
      <c r="D93" s="10" t="s">
        <v>397</v>
      </c>
      <c r="E93" s="10" t="n">
        <v>0.5</v>
      </c>
      <c r="F93" s="10" t="s">
        <v>30</v>
      </c>
      <c r="G93" s="13" t="n">
        <f aca="false">Dashboard!$B$3</f>
        <v>1</v>
      </c>
      <c r="H93" s="13" t="n">
        <f aca="false">MAX(Dashboard!$B$4,G93*E93)</f>
        <v>0.5</v>
      </c>
      <c r="I93" s="13" t="n">
        <v>1</v>
      </c>
      <c r="J93" s="13"/>
      <c r="K93" s="13"/>
      <c r="L93" s="14"/>
      <c r="M93" s="13"/>
      <c r="N93" s="13"/>
      <c r="O93" s="14"/>
      <c r="P93" s="15"/>
      <c r="Q93" s="14"/>
    </row>
    <row r="94" customFormat="false" ht="15" hidden="false" customHeight="false" outlineLevel="0" collapsed="false">
      <c r="A94" s="10" t="s">
        <v>398</v>
      </c>
      <c r="B94" s="17" t="s">
        <v>399</v>
      </c>
      <c r="C94" s="10" t="s">
        <v>400</v>
      </c>
      <c r="D94" s="10" t="s">
        <v>401</v>
      </c>
      <c r="E94" s="10" t="n">
        <v>0.45</v>
      </c>
      <c r="F94" s="10" t="s">
        <v>30</v>
      </c>
      <c r="G94" s="13" t="n">
        <f aca="false">Dashboard!$B$3</f>
        <v>1</v>
      </c>
      <c r="H94" s="13" t="n">
        <f aca="false">MAX(Dashboard!$B$4,G94*E94)</f>
        <v>0.49</v>
      </c>
      <c r="I94" s="13" t="n">
        <v>1</v>
      </c>
      <c r="J94" s="13"/>
      <c r="K94" s="13"/>
      <c r="L94" s="14"/>
      <c r="M94" s="13"/>
      <c r="N94" s="13"/>
      <c r="O94" s="14"/>
      <c r="P94" s="15"/>
      <c r="Q94" s="14"/>
    </row>
    <row r="95" customFormat="false" ht="15" hidden="false" customHeight="false" outlineLevel="0" collapsed="false">
      <c r="A95" s="10" t="s">
        <v>402</v>
      </c>
      <c r="B95" s="11" t="s">
        <v>402</v>
      </c>
      <c r="C95" s="10" t="s">
        <v>403</v>
      </c>
      <c r="D95" s="10" t="s">
        <v>119</v>
      </c>
      <c r="E95" s="10" t="n">
        <v>0.15</v>
      </c>
      <c r="F95" s="10" t="s">
        <v>66</v>
      </c>
      <c r="G95" s="13" t="n">
        <f aca="false">Dashboard!$B$3</f>
        <v>1</v>
      </c>
      <c r="H95" s="13" t="n">
        <f aca="false">MAX(Dashboard!$B$4,G95*E95)</f>
        <v>0.49</v>
      </c>
      <c r="I95" s="13" t="n">
        <v>1</v>
      </c>
      <c r="J95" s="13"/>
      <c r="K95" s="13"/>
      <c r="L95" s="14"/>
      <c r="M95" s="13"/>
      <c r="N95" s="13"/>
      <c r="O95" s="14"/>
      <c r="P95" s="15"/>
      <c r="Q95" s="14"/>
    </row>
    <row r="96" customFormat="false" ht="15" hidden="false" customHeight="false" outlineLevel="0" collapsed="false">
      <c r="A96" s="10" t="s">
        <v>404</v>
      </c>
      <c r="B96" s="11" t="s">
        <v>404</v>
      </c>
      <c r="C96" s="10" t="s">
        <v>405</v>
      </c>
      <c r="D96" s="10" t="s">
        <v>91</v>
      </c>
      <c r="E96" s="10" t="n">
        <v>0.75</v>
      </c>
      <c r="F96" s="10" t="s">
        <v>26</v>
      </c>
      <c r="G96" s="13" t="n">
        <f aca="false">Dashboard!$B$3</f>
        <v>1</v>
      </c>
      <c r="H96" s="13" t="n">
        <f aca="false">MAX(Dashboard!$B$4,G96*E96)</f>
        <v>0.75</v>
      </c>
      <c r="I96" s="13" t="n">
        <v>1</v>
      </c>
      <c r="J96" s="13"/>
      <c r="K96" s="13"/>
      <c r="L96" s="14"/>
      <c r="M96" s="13"/>
      <c r="N96" s="13"/>
      <c r="O96" s="14"/>
      <c r="P96" s="15"/>
      <c r="Q96" s="14"/>
    </row>
    <row r="97" customFormat="false" ht="15" hidden="false" customHeight="false" outlineLevel="0" collapsed="false">
      <c r="A97" s="10" t="s">
        <v>406</v>
      </c>
      <c r="B97" s="17" t="s">
        <v>407</v>
      </c>
      <c r="C97" s="10" t="s">
        <v>408</v>
      </c>
      <c r="D97" s="10" t="s">
        <v>409</v>
      </c>
      <c r="E97" s="10" t="n">
        <v>0.22</v>
      </c>
      <c r="F97" s="10" t="s">
        <v>66</v>
      </c>
      <c r="G97" s="13" t="n">
        <f aca="false">Dashboard!$B$3</f>
        <v>1</v>
      </c>
      <c r="H97" s="13" t="n">
        <f aca="false">MAX(Dashboard!$B$4,G97*E97)</f>
        <v>0.49</v>
      </c>
      <c r="I97" s="13" t="n">
        <v>1</v>
      </c>
      <c r="J97" s="13"/>
      <c r="K97" s="13"/>
      <c r="L97" s="14"/>
      <c r="M97" s="13"/>
      <c r="N97" s="13"/>
      <c r="O97" s="14"/>
      <c r="P97" s="15"/>
      <c r="Q97" s="14"/>
    </row>
    <row r="98" customFormat="false" ht="25" hidden="false" customHeight="false" outlineLevel="0" collapsed="false">
      <c r="A98" s="10" t="s">
        <v>410</v>
      </c>
      <c r="B98" s="14" t="s">
        <v>411</v>
      </c>
      <c r="C98" s="10" t="s">
        <v>412</v>
      </c>
      <c r="D98" s="14" t="s">
        <v>413</v>
      </c>
      <c r="E98" s="16" t="n">
        <v>0.45</v>
      </c>
      <c r="F98" s="14" t="str">
        <f aca="false">IF(E98&gt;=0.8,"A",IF(E98&gt;=0.6,"B",IF(E98&gt;=0.4,"C",IF(E98&gt;=0.2,"D","E"))))</f>
        <v>C</v>
      </c>
      <c r="G98" s="13" t="n">
        <f aca="false">Dashboard!$B$3</f>
        <v>1</v>
      </c>
      <c r="H98" s="13" t="n">
        <f aca="false">MAX(Dashboard!$B$4,G98*E98)</f>
        <v>0.49</v>
      </c>
      <c r="I98" s="18" t="n">
        <v>0.9</v>
      </c>
      <c r="J98" s="13" t="n">
        <v>17</v>
      </c>
      <c r="K98" s="13" t="n">
        <f aca="false">H98*I98*J98</f>
        <v>7.497</v>
      </c>
      <c r="L98" s="14" t="s">
        <v>414</v>
      </c>
      <c r="M98" s="13" t="n">
        <f aca="false">IF(L98="TRY_TIERS",IF(K98&lt;25,19,IF(K98&lt;35,29,IF(K98&lt;45,39,IF(K98&lt;60,49,79)))),
IF(L98="INR_TIERS",IF(K98&lt;40,29,IF(K98&lt;70,49,99)),
IF(L98="BRL_90",IF(K98&lt;3,2.9,IF(K98&lt;6,4.9,IF(K98&lt;10,6.9,9.9))),
IF(L98="IDR_000",ROUND(K98/1000,0)*1000,
IF(L98="JPY_00",ROUND(K98/100,0)*100,
IF(L98="KRW_000",ROUND(K98/1000,0)*1000,
IF(L98="VND_000",ROUND(K98/1000,0)*1000,
IF(OR(L98="USD_99",L98="EUR_99",L98="GBP_99",L98="CAD_99",L98="AUD_99",L98="PLN_99"),MAX(0.49,ROUND(K98,0)-0.01),
IF(L98="MXN_00",ROUND(K98,0),IF(L98="THB_00",ROUND(K98,0),ROUND(K98,2)))))))))))</f>
        <v>7</v>
      </c>
      <c r="N98" s="13" t="n">
        <f aca="false">M98/J98</f>
        <v>0.411764705882353</v>
      </c>
      <c r="O98" s="14" t="str">
        <f aca="false">IF(N98&lt;Dashboard!$B$4,"Below global min",IF(AND(E98&gt;=0.8,N98&lt;Dashboard!$B$5),"Raise high-PPP floor","OK"))</f>
        <v>Below global min</v>
      </c>
      <c r="P98" s="15" t="s">
        <v>415</v>
      </c>
      <c r="Q98" s="14"/>
    </row>
    <row r="99" customFormat="false" ht="26" hidden="false" customHeight="false" outlineLevel="0" collapsed="false">
      <c r="A99" s="10" t="s">
        <v>416</v>
      </c>
      <c r="B99" s="17" t="s">
        <v>417</v>
      </c>
      <c r="C99" s="10" t="s">
        <v>418</v>
      </c>
      <c r="D99" s="10" t="s">
        <v>226</v>
      </c>
      <c r="E99" s="10" t="n">
        <v>0.3</v>
      </c>
      <c r="F99" s="10" t="s">
        <v>57</v>
      </c>
      <c r="G99" s="13" t="n">
        <f aca="false">Dashboard!$B$3</f>
        <v>1</v>
      </c>
      <c r="H99" s="13" t="n">
        <f aca="false">MAX(Dashboard!$B$4,G99*E99)</f>
        <v>0.49</v>
      </c>
      <c r="I99" s="13" t="n">
        <v>1</v>
      </c>
      <c r="J99" s="13"/>
      <c r="K99" s="13"/>
      <c r="L99" s="14"/>
      <c r="M99" s="13"/>
      <c r="N99" s="13"/>
      <c r="O99" s="14"/>
      <c r="P99" s="15"/>
      <c r="Q99" s="14"/>
    </row>
    <row r="100" customFormat="false" ht="26" hidden="false" customHeight="false" outlineLevel="0" collapsed="false">
      <c r="A100" s="10" t="s">
        <v>419</v>
      </c>
      <c r="B100" s="17" t="s">
        <v>420</v>
      </c>
      <c r="C100" s="10" t="s">
        <v>421</v>
      </c>
      <c r="D100" s="10" t="s">
        <v>422</v>
      </c>
      <c r="E100" s="10" t="n">
        <v>0.3</v>
      </c>
      <c r="F100" s="10" t="s">
        <v>57</v>
      </c>
      <c r="G100" s="13" t="n">
        <f aca="false">Dashboard!$B$3</f>
        <v>1</v>
      </c>
      <c r="H100" s="13" t="n">
        <f aca="false">MAX(Dashboard!$B$4,G100*E100)</f>
        <v>0.49</v>
      </c>
      <c r="I100" s="13" t="n">
        <v>1</v>
      </c>
      <c r="J100" s="13"/>
      <c r="K100" s="13"/>
      <c r="L100" s="14"/>
      <c r="M100" s="13"/>
      <c r="N100" s="13"/>
      <c r="O100" s="14"/>
      <c r="P100" s="15"/>
      <c r="Q100" s="14"/>
    </row>
    <row r="101" customFormat="false" ht="15" hidden="false" customHeight="false" outlineLevel="0" collapsed="false">
      <c r="A101" s="10" t="s">
        <v>423</v>
      </c>
      <c r="B101" s="17" t="s">
        <v>424</v>
      </c>
      <c r="C101" s="10" t="s">
        <v>425</v>
      </c>
      <c r="D101" s="10" t="s">
        <v>91</v>
      </c>
      <c r="E101" s="10" t="n">
        <v>1</v>
      </c>
      <c r="F101" s="10" t="s">
        <v>22</v>
      </c>
      <c r="G101" s="13" t="n">
        <f aca="false">Dashboard!$B$3</f>
        <v>1</v>
      </c>
      <c r="H101" s="13" t="n">
        <f aca="false">MAX(Dashboard!$B$4,G101*E101)</f>
        <v>1</v>
      </c>
      <c r="I101" s="13" t="n">
        <v>1</v>
      </c>
      <c r="J101" s="13"/>
      <c r="K101" s="13"/>
      <c r="L101" s="14"/>
      <c r="M101" s="13"/>
      <c r="N101" s="13"/>
      <c r="O101" s="14"/>
      <c r="P101" s="15"/>
      <c r="Q101" s="14"/>
    </row>
    <row r="102" customFormat="false" ht="15" hidden="false" customHeight="false" outlineLevel="0" collapsed="false">
      <c r="A102" s="10" t="s">
        <v>426</v>
      </c>
      <c r="B102" s="17" t="s">
        <v>427</v>
      </c>
      <c r="C102" s="10" t="s">
        <v>428</v>
      </c>
      <c r="D102" s="10" t="s">
        <v>429</v>
      </c>
      <c r="E102" s="10" t="n">
        <v>0.3</v>
      </c>
      <c r="F102" s="10" t="s">
        <v>57</v>
      </c>
      <c r="G102" s="13" t="n">
        <f aca="false">Dashboard!$B$3</f>
        <v>1</v>
      </c>
      <c r="H102" s="13" t="n">
        <f aca="false">MAX(Dashboard!$B$4,G102*E102)</f>
        <v>0.49</v>
      </c>
      <c r="I102" s="13" t="n">
        <v>1</v>
      </c>
      <c r="J102" s="13"/>
      <c r="K102" s="13"/>
      <c r="L102" s="14"/>
      <c r="M102" s="13"/>
      <c r="N102" s="13"/>
      <c r="O102" s="14"/>
      <c r="P102" s="15"/>
      <c r="Q102" s="14"/>
    </row>
    <row r="103" customFormat="false" ht="15" hidden="false" customHeight="false" outlineLevel="0" collapsed="false">
      <c r="A103" s="10" t="s">
        <v>430</v>
      </c>
      <c r="B103" s="11" t="s">
        <v>431</v>
      </c>
      <c r="C103" s="10" t="s">
        <v>432</v>
      </c>
      <c r="D103" s="10" t="s">
        <v>433</v>
      </c>
      <c r="E103" s="10" t="n">
        <v>0.3</v>
      </c>
      <c r="F103" s="10" t="s">
        <v>57</v>
      </c>
      <c r="G103" s="13" t="n">
        <f aca="false">Dashboard!$B$3</f>
        <v>1</v>
      </c>
      <c r="H103" s="13" t="n">
        <f aca="false">MAX(Dashboard!$B$4,G103*E103)</f>
        <v>0.49</v>
      </c>
      <c r="I103" s="13" t="n">
        <v>1</v>
      </c>
      <c r="J103" s="13"/>
      <c r="K103" s="13"/>
      <c r="L103" s="14"/>
      <c r="M103" s="13"/>
      <c r="N103" s="13"/>
      <c r="O103" s="14"/>
      <c r="P103" s="15"/>
      <c r="Q103" s="14"/>
    </row>
    <row r="104" customFormat="false" ht="15" hidden="false" customHeight="false" outlineLevel="0" collapsed="false">
      <c r="A104" s="10" t="s">
        <v>434</v>
      </c>
      <c r="B104" s="17" t="s">
        <v>435</v>
      </c>
      <c r="C104" s="10" t="s">
        <v>436</v>
      </c>
      <c r="D104" s="10" t="s">
        <v>437</v>
      </c>
      <c r="E104" s="10" t="n">
        <v>0.18</v>
      </c>
      <c r="F104" s="10" t="s">
        <v>66</v>
      </c>
      <c r="G104" s="13" t="n">
        <f aca="false">Dashboard!$B$3</f>
        <v>1</v>
      </c>
      <c r="H104" s="13" t="n">
        <f aca="false">MAX(Dashboard!$B$4,G104*E104)</f>
        <v>0.49</v>
      </c>
      <c r="I104" s="13" t="n">
        <v>1</v>
      </c>
      <c r="J104" s="13"/>
      <c r="K104" s="13"/>
      <c r="L104" s="14"/>
      <c r="M104" s="13"/>
      <c r="N104" s="13"/>
      <c r="O104" s="14"/>
      <c r="P104" s="15"/>
      <c r="Q104" s="14"/>
    </row>
    <row r="105" customFormat="false" ht="15" hidden="false" customHeight="false" outlineLevel="0" collapsed="false">
      <c r="A105" s="10" t="s">
        <v>438</v>
      </c>
      <c r="B105" s="17" t="s">
        <v>439</v>
      </c>
      <c r="C105" s="10" t="s">
        <v>440</v>
      </c>
      <c r="D105" s="10" t="s">
        <v>441</v>
      </c>
      <c r="E105" s="10" t="n">
        <v>0.18</v>
      </c>
      <c r="F105" s="10" t="s">
        <v>66</v>
      </c>
      <c r="G105" s="13" t="n">
        <f aca="false">Dashboard!$B$3</f>
        <v>1</v>
      </c>
      <c r="H105" s="13" t="n">
        <f aca="false">MAX(Dashboard!$B$4,G105*E105)</f>
        <v>0.49</v>
      </c>
      <c r="I105" s="13" t="n">
        <v>1</v>
      </c>
      <c r="J105" s="13"/>
      <c r="K105" s="13"/>
      <c r="L105" s="14"/>
      <c r="M105" s="13"/>
      <c r="N105" s="13"/>
      <c r="O105" s="14"/>
      <c r="P105" s="15"/>
      <c r="Q105" s="14"/>
    </row>
    <row r="106" customFormat="false" ht="15" hidden="false" customHeight="false" outlineLevel="0" collapsed="false">
      <c r="A106" s="10" t="s">
        <v>442</v>
      </c>
      <c r="B106" s="17" t="s">
        <v>443</v>
      </c>
      <c r="C106" s="10" t="s">
        <v>444</v>
      </c>
      <c r="D106" s="10" t="s">
        <v>445</v>
      </c>
      <c r="E106" s="10" t="n">
        <v>0.35</v>
      </c>
      <c r="F106" s="10" t="s">
        <v>57</v>
      </c>
      <c r="G106" s="13" t="n">
        <f aca="false">Dashboard!$B$3</f>
        <v>1</v>
      </c>
      <c r="H106" s="13" t="n">
        <f aca="false">MAX(Dashboard!$B$4,G106*E106)</f>
        <v>0.49</v>
      </c>
      <c r="I106" s="13" t="n">
        <v>1</v>
      </c>
      <c r="J106" s="13"/>
      <c r="K106" s="13"/>
      <c r="L106" s="14"/>
      <c r="M106" s="13"/>
      <c r="N106" s="13"/>
      <c r="O106" s="14"/>
      <c r="P106" s="15"/>
      <c r="Q106" s="14"/>
    </row>
    <row r="107" customFormat="false" ht="15" hidden="false" customHeight="false" outlineLevel="0" collapsed="false">
      <c r="A107" s="10" t="s">
        <v>446</v>
      </c>
      <c r="B107" s="11" t="s">
        <v>446</v>
      </c>
      <c r="C107" s="10" t="s">
        <v>447</v>
      </c>
      <c r="D107" s="10" t="s">
        <v>448</v>
      </c>
      <c r="E107" s="10" t="n">
        <v>0.15</v>
      </c>
      <c r="F107" s="10" t="s">
        <v>66</v>
      </c>
      <c r="G107" s="13" t="n">
        <f aca="false">Dashboard!$B$3</f>
        <v>1</v>
      </c>
      <c r="H107" s="13" t="n">
        <f aca="false">MAX(Dashboard!$B$4,G107*E107)</f>
        <v>0.49</v>
      </c>
      <c r="I107" s="13" t="n">
        <v>1</v>
      </c>
      <c r="J107" s="13"/>
      <c r="K107" s="13"/>
      <c r="L107" s="14"/>
      <c r="M107" s="13"/>
      <c r="N107" s="13"/>
      <c r="O107" s="14"/>
      <c r="P107" s="15"/>
      <c r="Q107" s="14"/>
    </row>
    <row r="108" customFormat="false" ht="15" hidden="false" customHeight="false" outlineLevel="0" collapsed="false">
      <c r="A108" s="10" t="s">
        <v>449</v>
      </c>
      <c r="B108" s="17" t="s">
        <v>450</v>
      </c>
      <c r="C108" s="10" t="s">
        <v>451</v>
      </c>
      <c r="D108" s="10" t="s">
        <v>91</v>
      </c>
      <c r="E108" s="10" t="n">
        <v>0.88</v>
      </c>
      <c r="F108" s="10" t="s">
        <v>22</v>
      </c>
      <c r="G108" s="13" t="n">
        <f aca="false">Dashboard!$B$3</f>
        <v>1</v>
      </c>
      <c r="H108" s="13" t="n">
        <f aca="false">MAX(Dashboard!$B$4,G108*E108)</f>
        <v>0.88</v>
      </c>
      <c r="I108" s="13" t="n">
        <v>1</v>
      </c>
      <c r="J108" s="13"/>
      <c r="K108" s="13"/>
      <c r="L108" s="14"/>
      <c r="M108" s="13"/>
      <c r="N108" s="13"/>
      <c r="O108" s="14"/>
      <c r="P108" s="15"/>
      <c r="Q108" s="14"/>
    </row>
    <row r="109" customFormat="false" ht="15" hidden="false" customHeight="false" outlineLevel="0" collapsed="false">
      <c r="A109" s="10" t="s">
        <v>452</v>
      </c>
      <c r="B109" s="17" t="s">
        <v>453</v>
      </c>
      <c r="C109" s="10" t="s">
        <v>454</v>
      </c>
      <c r="D109" s="10" t="s">
        <v>455</v>
      </c>
      <c r="E109" s="10" t="n">
        <v>0.9</v>
      </c>
      <c r="F109" s="10" t="s">
        <v>22</v>
      </c>
      <c r="G109" s="13" t="n">
        <f aca="false">Dashboard!$B$3</f>
        <v>1</v>
      </c>
      <c r="H109" s="13" t="n">
        <f aca="false">MAX(Dashboard!$B$4,G109*E109)</f>
        <v>0.9</v>
      </c>
      <c r="I109" s="13" t="n">
        <v>1</v>
      </c>
      <c r="J109" s="13"/>
      <c r="K109" s="13"/>
      <c r="L109" s="14"/>
      <c r="M109" s="13"/>
      <c r="N109" s="13"/>
      <c r="O109" s="14"/>
      <c r="P109" s="15"/>
      <c r="Q109" s="14"/>
    </row>
    <row r="110" customFormat="false" ht="15" hidden="false" customHeight="false" outlineLevel="0" collapsed="false">
      <c r="A110" s="10" t="s">
        <v>456</v>
      </c>
      <c r="B110" s="17" t="s">
        <v>457</v>
      </c>
      <c r="C110" s="10" t="s">
        <v>458</v>
      </c>
      <c r="D110" s="10" t="s">
        <v>459</v>
      </c>
      <c r="E110" s="10" t="n">
        <v>0.25</v>
      </c>
      <c r="F110" s="10" t="s">
        <v>57</v>
      </c>
      <c r="G110" s="13" t="n">
        <f aca="false">Dashboard!$B$3</f>
        <v>1</v>
      </c>
      <c r="H110" s="13" t="n">
        <f aca="false">MAX(Dashboard!$B$4,G110*E110)</f>
        <v>0.49</v>
      </c>
      <c r="I110" s="13" t="n">
        <v>1</v>
      </c>
      <c r="J110" s="13"/>
      <c r="K110" s="13"/>
      <c r="L110" s="14"/>
      <c r="M110" s="13"/>
      <c r="N110" s="13"/>
      <c r="O110" s="14"/>
      <c r="P110" s="15"/>
      <c r="Q110" s="14"/>
    </row>
    <row r="111" customFormat="false" ht="15" hidden="false" customHeight="false" outlineLevel="0" collapsed="false">
      <c r="A111" s="10" t="s">
        <v>460</v>
      </c>
      <c r="B111" s="11" t="s">
        <v>461</v>
      </c>
      <c r="C111" s="10" t="s">
        <v>462</v>
      </c>
      <c r="D111" s="10" t="s">
        <v>119</v>
      </c>
      <c r="E111" s="10" t="n">
        <v>0.12</v>
      </c>
      <c r="F111" s="10" t="s">
        <v>66</v>
      </c>
      <c r="G111" s="13" t="n">
        <f aca="false">Dashboard!$B$3</f>
        <v>1</v>
      </c>
      <c r="H111" s="13" t="n">
        <f aca="false">MAX(Dashboard!$B$4,G111*E111)</f>
        <v>0.49</v>
      </c>
      <c r="I111" s="13" t="n">
        <v>1</v>
      </c>
      <c r="J111" s="13"/>
      <c r="K111" s="13"/>
      <c r="L111" s="14"/>
      <c r="M111" s="13"/>
      <c r="N111" s="13"/>
      <c r="O111" s="14"/>
      <c r="P111" s="15"/>
      <c r="Q111" s="14"/>
    </row>
    <row r="112" customFormat="false" ht="15" hidden="false" customHeight="false" outlineLevel="0" collapsed="false">
      <c r="A112" s="10" t="s">
        <v>463</v>
      </c>
      <c r="B112" s="11" t="s">
        <v>464</v>
      </c>
      <c r="C112" s="10" t="s">
        <v>465</v>
      </c>
      <c r="D112" s="10" t="s">
        <v>466</v>
      </c>
      <c r="E112" s="10" t="n">
        <v>0.2</v>
      </c>
      <c r="F112" s="10" t="s">
        <v>66</v>
      </c>
      <c r="G112" s="13" t="n">
        <f aca="false">Dashboard!$B$3</f>
        <v>1</v>
      </c>
      <c r="H112" s="13" t="n">
        <f aca="false">MAX(Dashboard!$B$4,G112*E112)</f>
        <v>0.49</v>
      </c>
      <c r="I112" s="13" t="n">
        <v>1</v>
      </c>
      <c r="J112" s="13"/>
      <c r="K112" s="13"/>
      <c r="L112" s="14"/>
      <c r="M112" s="13"/>
      <c r="N112" s="13"/>
      <c r="O112" s="14"/>
      <c r="P112" s="15"/>
      <c r="Q112" s="14"/>
    </row>
    <row r="113" customFormat="false" ht="15" hidden="false" customHeight="false" outlineLevel="0" collapsed="false">
      <c r="A113" s="10" t="s">
        <v>467</v>
      </c>
      <c r="B113" s="17" t="s">
        <v>468</v>
      </c>
      <c r="C113" s="10" t="s">
        <v>469</v>
      </c>
      <c r="D113" s="10" t="s">
        <v>470</v>
      </c>
      <c r="E113" s="10" t="n">
        <v>0.95</v>
      </c>
      <c r="F113" s="10" t="s">
        <v>22</v>
      </c>
      <c r="G113" s="13" t="n">
        <f aca="false">Dashboard!$B$3</f>
        <v>1</v>
      </c>
      <c r="H113" s="13" t="n">
        <f aca="false">MAX(Dashboard!$B$4,G113*E113)</f>
        <v>0.95</v>
      </c>
      <c r="I113" s="13" t="n">
        <v>1</v>
      </c>
      <c r="J113" s="13"/>
      <c r="K113" s="13"/>
      <c r="L113" s="14"/>
      <c r="M113" s="13"/>
      <c r="N113" s="13"/>
      <c r="O113" s="14"/>
      <c r="P113" s="15"/>
      <c r="Q113" s="14"/>
    </row>
    <row r="114" customFormat="false" ht="15" hidden="false" customHeight="false" outlineLevel="0" collapsed="false">
      <c r="A114" s="10" t="s">
        <v>471</v>
      </c>
      <c r="B114" s="11" t="s">
        <v>472</v>
      </c>
      <c r="C114" s="10" t="s">
        <v>473</v>
      </c>
      <c r="D114" s="10" t="s">
        <v>474</v>
      </c>
      <c r="E114" s="10" t="n">
        <v>0.75</v>
      </c>
      <c r="F114" s="10" t="s">
        <v>26</v>
      </c>
      <c r="G114" s="13" t="n">
        <f aca="false">Dashboard!$B$3</f>
        <v>1</v>
      </c>
      <c r="H114" s="13" t="n">
        <f aca="false">MAX(Dashboard!$B$4,G114*E114)</f>
        <v>0.75</v>
      </c>
      <c r="I114" s="13" t="n">
        <v>1</v>
      </c>
      <c r="J114" s="13"/>
      <c r="K114" s="13"/>
      <c r="L114" s="14"/>
      <c r="M114" s="13"/>
      <c r="N114" s="13"/>
      <c r="O114" s="14"/>
      <c r="P114" s="15"/>
      <c r="Q114" s="14"/>
    </row>
    <row r="115" customFormat="false" ht="15" hidden="false" customHeight="false" outlineLevel="0" collapsed="false">
      <c r="A115" s="10" t="s">
        <v>475</v>
      </c>
      <c r="B115" s="17" t="s">
        <v>476</v>
      </c>
      <c r="C115" s="10" t="s">
        <v>477</v>
      </c>
      <c r="D115" s="10" t="s">
        <v>478</v>
      </c>
      <c r="E115" s="10" t="n">
        <v>0.18</v>
      </c>
      <c r="F115" s="10" t="s">
        <v>66</v>
      </c>
      <c r="G115" s="13" t="n">
        <f aca="false">Dashboard!$B$3</f>
        <v>1</v>
      </c>
      <c r="H115" s="13" t="n">
        <f aca="false">MAX(Dashboard!$B$4,G115*E115)</f>
        <v>0.49</v>
      </c>
      <c r="I115" s="13" t="n">
        <v>1</v>
      </c>
      <c r="J115" s="13"/>
      <c r="K115" s="13"/>
      <c r="L115" s="14"/>
      <c r="M115" s="13"/>
      <c r="N115" s="13"/>
      <c r="O115" s="14"/>
      <c r="P115" s="15"/>
      <c r="Q115" s="14"/>
    </row>
    <row r="116" customFormat="false" ht="15" hidden="false" customHeight="false" outlineLevel="0" collapsed="false">
      <c r="A116" s="10" t="s">
        <v>479</v>
      </c>
      <c r="B116" s="11" t="s">
        <v>479</v>
      </c>
      <c r="C116" s="10" t="s">
        <v>480</v>
      </c>
      <c r="D116" s="10" t="s">
        <v>481</v>
      </c>
      <c r="E116" s="10" t="n">
        <v>0.6</v>
      </c>
      <c r="F116" s="10" t="s">
        <v>30</v>
      </c>
      <c r="G116" s="13" t="n">
        <f aca="false">Dashboard!$B$3</f>
        <v>1</v>
      </c>
      <c r="H116" s="13" t="n">
        <f aca="false">MAX(Dashboard!$B$4,G116*E116)</f>
        <v>0.6</v>
      </c>
      <c r="I116" s="13" t="n">
        <v>1</v>
      </c>
      <c r="J116" s="13"/>
      <c r="K116" s="13"/>
      <c r="L116" s="14"/>
      <c r="M116" s="13"/>
      <c r="N116" s="13"/>
      <c r="O116" s="14"/>
      <c r="P116" s="15"/>
      <c r="Q116" s="14"/>
    </row>
    <row r="117" customFormat="false" ht="15" hidden="false" customHeight="false" outlineLevel="0" collapsed="false">
      <c r="A117" s="10" t="s">
        <v>482</v>
      </c>
      <c r="B117" s="17" t="s">
        <v>483</v>
      </c>
      <c r="C117" s="10" t="s">
        <v>484</v>
      </c>
      <c r="D117" s="10" t="s">
        <v>485</v>
      </c>
      <c r="E117" s="10" t="n">
        <v>0.25</v>
      </c>
      <c r="F117" s="10" t="s">
        <v>66</v>
      </c>
      <c r="G117" s="13" t="n">
        <f aca="false">Dashboard!$B$3</f>
        <v>1</v>
      </c>
      <c r="H117" s="13" t="n">
        <f aca="false">MAX(Dashboard!$B$4,G117*E117)</f>
        <v>0.49</v>
      </c>
      <c r="I117" s="13" t="n">
        <v>1</v>
      </c>
      <c r="J117" s="13"/>
      <c r="K117" s="13"/>
      <c r="L117" s="14"/>
      <c r="M117" s="13"/>
      <c r="N117" s="13"/>
      <c r="O117" s="14"/>
      <c r="P117" s="15"/>
      <c r="Q117" s="14"/>
    </row>
    <row r="118" customFormat="false" ht="15" hidden="false" customHeight="false" outlineLevel="0" collapsed="false">
      <c r="A118" s="10" t="s">
        <v>486</v>
      </c>
      <c r="B118" s="11" t="s">
        <v>486</v>
      </c>
      <c r="C118" s="10" t="s">
        <v>487</v>
      </c>
      <c r="D118" s="10" t="s">
        <v>488</v>
      </c>
      <c r="E118" s="10" t="n">
        <v>0.35</v>
      </c>
      <c r="F118" s="10" t="s">
        <v>57</v>
      </c>
      <c r="G118" s="13" t="n">
        <f aca="false">Dashboard!$B$3</f>
        <v>1</v>
      </c>
      <c r="H118" s="13" t="n">
        <f aca="false">MAX(Dashboard!$B$4,G118*E118)</f>
        <v>0.49</v>
      </c>
      <c r="I118" s="13" t="n">
        <v>1</v>
      </c>
      <c r="J118" s="13"/>
      <c r="K118" s="13"/>
      <c r="L118" s="14"/>
      <c r="M118" s="13"/>
      <c r="N118" s="13"/>
      <c r="O118" s="14"/>
      <c r="P118" s="15"/>
      <c r="Q118" s="14"/>
    </row>
    <row r="119" customFormat="false" ht="15" hidden="false" customHeight="false" outlineLevel="0" collapsed="false">
      <c r="A119" s="10" t="s">
        <v>489</v>
      </c>
      <c r="B119" s="11" t="s">
        <v>489</v>
      </c>
      <c r="C119" s="10" t="s">
        <v>490</v>
      </c>
      <c r="D119" s="10" t="s">
        <v>491</v>
      </c>
      <c r="E119" s="10" t="n">
        <v>0.35</v>
      </c>
      <c r="F119" s="10" t="s">
        <v>57</v>
      </c>
      <c r="G119" s="13" t="n">
        <f aca="false">Dashboard!$B$3</f>
        <v>1</v>
      </c>
      <c r="H119" s="13" t="n">
        <f aca="false">MAX(Dashboard!$B$4,G119*E119)</f>
        <v>0.49</v>
      </c>
      <c r="I119" s="13" t="n">
        <v>1</v>
      </c>
      <c r="J119" s="13"/>
      <c r="K119" s="13"/>
      <c r="L119" s="14"/>
      <c r="M119" s="13"/>
      <c r="N119" s="13"/>
      <c r="O119" s="14"/>
      <c r="P119" s="15"/>
      <c r="Q119" s="14"/>
    </row>
    <row r="120" customFormat="false" ht="15" hidden="false" customHeight="false" outlineLevel="0" collapsed="false">
      <c r="A120" s="10" t="s">
        <v>492</v>
      </c>
      <c r="B120" s="17" t="s">
        <v>493</v>
      </c>
      <c r="C120" s="10" t="s">
        <v>494</v>
      </c>
      <c r="D120" s="10" t="s">
        <v>495</v>
      </c>
      <c r="E120" s="10" t="n">
        <v>0.27</v>
      </c>
      <c r="F120" s="10" t="s">
        <v>57</v>
      </c>
      <c r="G120" s="13" t="n">
        <f aca="false">Dashboard!$B$3</f>
        <v>1</v>
      </c>
      <c r="H120" s="13" t="n">
        <f aca="false">MAX(Dashboard!$B$4,G120*E120)</f>
        <v>0.49</v>
      </c>
      <c r="I120" s="13" t="n">
        <v>1</v>
      </c>
      <c r="J120" s="13"/>
      <c r="K120" s="13"/>
      <c r="L120" s="14"/>
      <c r="M120" s="13"/>
      <c r="N120" s="13"/>
      <c r="O120" s="14"/>
      <c r="P120" s="15"/>
      <c r="Q120" s="14"/>
    </row>
    <row r="121" customFormat="false" ht="25" hidden="false" customHeight="false" outlineLevel="0" collapsed="false">
      <c r="A121" s="10" t="s">
        <v>496</v>
      </c>
      <c r="B121" s="14" t="s">
        <v>497</v>
      </c>
      <c r="C121" s="10" t="s">
        <v>498</v>
      </c>
      <c r="D121" s="14" t="s">
        <v>499</v>
      </c>
      <c r="E121" s="16" t="n">
        <v>0.55</v>
      </c>
      <c r="F121" s="14" t="str">
        <f aca="false">IF(E121&gt;=0.8,"A",IF(E121&gt;=0.6,"B",IF(E121&gt;=0.4,"C",IF(E121&gt;=0.2,"D","E"))))</f>
        <v>C</v>
      </c>
      <c r="G121" s="13" t="n">
        <f aca="false">Dashboard!$B$3</f>
        <v>1</v>
      </c>
      <c r="H121" s="13" t="n">
        <f aca="false">MAX(Dashboard!$B$4,G121*E121)</f>
        <v>0.55</v>
      </c>
      <c r="I121" s="18" t="n">
        <v>0.95</v>
      </c>
      <c r="J121" s="13" t="n">
        <v>4</v>
      </c>
      <c r="K121" s="13" t="n">
        <f aca="false">H121*I121*J121</f>
        <v>2.09</v>
      </c>
      <c r="L121" s="14" t="s">
        <v>500</v>
      </c>
      <c r="M121" s="13" t="n">
        <f aca="false">IF(L121="TRY_TIERS",IF(K121&lt;25,19,IF(K121&lt;35,29,IF(K121&lt;45,39,IF(K121&lt;60,49,79)))),
IF(L121="INR_TIERS",IF(K121&lt;40,29,IF(K121&lt;70,49,99)),
IF(L121="BRL_90",IF(K121&lt;3,2.9,IF(K121&lt;6,4.9,IF(K121&lt;10,6.9,9.9))),
IF(L121="IDR_000",ROUND(K121/1000,0)*1000,
IF(L121="JPY_00",ROUND(K121/100,0)*100,
IF(L121="KRW_000",ROUND(K121/1000,0)*1000,
IF(L121="VND_000",ROUND(K121/1000,0)*1000,
IF(OR(L121="USD_99",L121="EUR_99",L121="GBP_99",L121="CAD_99",L121="AUD_99",L121="PLN_99"),MAX(0.49,ROUND(K121,0)-0.01),
IF(L121="MXN_00",ROUND(K121,0),IF(L121="THB_00",ROUND(K121,0),ROUND(K121,2)))))))))))</f>
        <v>1.99</v>
      </c>
      <c r="N121" s="13" t="n">
        <f aca="false">M121/J121</f>
        <v>0.4975</v>
      </c>
      <c r="O121" s="14" t="str">
        <f aca="false">IF(N121&lt;Dashboard!$B$4,"Below global min",IF(AND(E121&gt;=0.8,N121&lt;Dashboard!$B$5),"Raise high-PPP floor","OK"))</f>
        <v>OK</v>
      </c>
      <c r="P121" s="15" t="s">
        <v>501</v>
      </c>
      <c r="Q121" s="14"/>
    </row>
    <row r="122" customFormat="false" ht="15" hidden="false" customHeight="false" outlineLevel="0" collapsed="false">
      <c r="A122" s="10" t="s">
        <v>502</v>
      </c>
      <c r="B122" s="17" t="s">
        <v>503</v>
      </c>
      <c r="C122" s="10" t="s">
        <v>504</v>
      </c>
      <c r="D122" s="10" t="s">
        <v>91</v>
      </c>
      <c r="E122" s="10" t="n">
        <v>0.7</v>
      </c>
      <c r="F122" s="10" t="s">
        <v>26</v>
      </c>
      <c r="G122" s="13" t="n">
        <f aca="false">Dashboard!$B$3</f>
        <v>1</v>
      </c>
      <c r="H122" s="13" t="n">
        <f aca="false">MAX(Dashboard!$B$4,G122*E122)</f>
        <v>0.7</v>
      </c>
      <c r="I122" s="13" t="n">
        <v>1</v>
      </c>
      <c r="J122" s="13"/>
      <c r="K122" s="13"/>
      <c r="L122" s="14"/>
      <c r="M122" s="13"/>
      <c r="N122" s="13"/>
      <c r="O122" s="14"/>
      <c r="P122" s="15"/>
      <c r="Q122" s="14"/>
    </row>
    <row r="123" customFormat="false" ht="15" hidden="false" customHeight="false" outlineLevel="0" collapsed="false">
      <c r="A123" s="10" t="s">
        <v>505</v>
      </c>
      <c r="B123" s="11" t="s">
        <v>506</v>
      </c>
      <c r="C123" s="10" t="s">
        <v>507</v>
      </c>
      <c r="D123" s="10" t="s">
        <v>508</v>
      </c>
      <c r="E123" s="10" t="n">
        <v>0.95</v>
      </c>
      <c r="F123" s="10" t="s">
        <v>22</v>
      </c>
      <c r="G123" s="13" t="n">
        <f aca="false">Dashboard!$B$3</f>
        <v>1</v>
      </c>
      <c r="H123" s="13" t="n">
        <f aca="false">MAX(Dashboard!$B$4,G123*E123)</f>
        <v>0.95</v>
      </c>
      <c r="I123" s="13" t="n">
        <v>1</v>
      </c>
      <c r="J123" s="13"/>
      <c r="K123" s="13"/>
      <c r="L123" s="14"/>
      <c r="M123" s="13"/>
      <c r="N123" s="13"/>
      <c r="O123" s="14"/>
      <c r="P123" s="15"/>
      <c r="Q123" s="14"/>
    </row>
    <row r="124" customFormat="false" ht="26" hidden="false" customHeight="false" outlineLevel="0" collapsed="false">
      <c r="A124" s="10" t="s">
        <v>509</v>
      </c>
      <c r="B124" s="17" t="s">
        <v>510</v>
      </c>
      <c r="C124" s="10" t="s">
        <v>511</v>
      </c>
      <c r="D124" s="10" t="s">
        <v>512</v>
      </c>
      <c r="E124" s="10" t="n">
        <v>0.45</v>
      </c>
      <c r="F124" s="10" t="s">
        <v>30</v>
      </c>
      <c r="G124" s="13" t="n">
        <f aca="false">Dashboard!$B$3</f>
        <v>1</v>
      </c>
      <c r="H124" s="13" t="n">
        <f aca="false">MAX(Dashboard!$B$4,G124*E124)</f>
        <v>0.49</v>
      </c>
      <c r="I124" s="13" t="n">
        <v>1</v>
      </c>
      <c r="J124" s="13"/>
      <c r="K124" s="13"/>
      <c r="L124" s="14"/>
      <c r="M124" s="13"/>
      <c r="N124" s="13"/>
      <c r="O124" s="14"/>
      <c r="P124" s="15"/>
      <c r="Q124" s="14"/>
    </row>
    <row r="125" customFormat="false" ht="15" hidden="false" customHeight="false" outlineLevel="0" collapsed="false">
      <c r="A125" s="10" t="s">
        <v>513</v>
      </c>
      <c r="B125" s="17" t="s">
        <v>514</v>
      </c>
      <c r="C125" s="10" t="s">
        <v>515</v>
      </c>
      <c r="D125" s="10" t="s">
        <v>516</v>
      </c>
      <c r="E125" s="10" t="n">
        <v>0.45</v>
      </c>
      <c r="F125" s="10" t="s">
        <v>30</v>
      </c>
      <c r="G125" s="13" t="n">
        <f aca="false">Dashboard!$B$3</f>
        <v>1</v>
      </c>
      <c r="H125" s="13" t="n">
        <f aca="false">MAX(Dashboard!$B$4,G125*E125)</f>
        <v>0.49</v>
      </c>
      <c r="I125" s="13" t="n">
        <v>1</v>
      </c>
      <c r="J125" s="13"/>
      <c r="K125" s="13"/>
      <c r="L125" s="14"/>
      <c r="M125" s="13"/>
      <c r="N125" s="13"/>
      <c r="O125" s="14"/>
      <c r="P125" s="15"/>
      <c r="Q125" s="14"/>
    </row>
    <row r="126" customFormat="false" ht="15" hidden="false" customHeight="false" outlineLevel="0" collapsed="false">
      <c r="A126" s="10" t="s">
        <v>517</v>
      </c>
      <c r="B126" s="17" t="s">
        <v>518</v>
      </c>
      <c r="C126" s="10" t="s">
        <v>519</v>
      </c>
      <c r="D126" s="10" t="s">
        <v>520</v>
      </c>
      <c r="E126" s="10" t="n">
        <v>0.45</v>
      </c>
      <c r="F126" s="10" t="s">
        <v>30</v>
      </c>
      <c r="G126" s="13" t="n">
        <f aca="false">Dashboard!$B$3</f>
        <v>1</v>
      </c>
      <c r="H126" s="13" t="n">
        <f aca="false">MAX(Dashboard!$B$4,G126*E126)</f>
        <v>0.49</v>
      </c>
      <c r="I126" s="13" t="n">
        <v>1</v>
      </c>
      <c r="J126" s="13"/>
      <c r="K126" s="13"/>
      <c r="L126" s="14"/>
      <c r="M126" s="13"/>
      <c r="N126" s="13"/>
      <c r="O126" s="14"/>
      <c r="P126" s="15"/>
      <c r="Q126" s="14"/>
    </row>
    <row r="127" customFormat="false" ht="15" hidden="false" customHeight="false" outlineLevel="0" collapsed="false">
      <c r="A127" s="10" t="s">
        <v>521</v>
      </c>
      <c r="B127" s="17" t="s">
        <v>522</v>
      </c>
      <c r="C127" s="10" t="s">
        <v>523</v>
      </c>
      <c r="D127" s="10" t="s">
        <v>524</v>
      </c>
      <c r="E127" s="10" t="n">
        <v>0.18</v>
      </c>
      <c r="F127" s="10" t="s">
        <v>66</v>
      </c>
      <c r="G127" s="13" t="n">
        <f aca="false">Dashboard!$B$3</f>
        <v>1</v>
      </c>
      <c r="H127" s="13" t="n">
        <f aca="false">MAX(Dashboard!$B$4,G127*E127)</f>
        <v>0.49</v>
      </c>
      <c r="I127" s="13" t="n">
        <v>1</v>
      </c>
      <c r="J127" s="13"/>
      <c r="K127" s="13"/>
      <c r="L127" s="14"/>
      <c r="M127" s="13"/>
      <c r="N127" s="13"/>
      <c r="O127" s="14"/>
      <c r="P127" s="15"/>
      <c r="Q127" s="14"/>
    </row>
    <row r="128" customFormat="false" ht="15" hidden="false" customHeight="false" outlineLevel="0" collapsed="false">
      <c r="A128" s="10" t="s">
        <v>525</v>
      </c>
      <c r="B128" s="17" t="s">
        <v>526</v>
      </c>
      <c r="C128" s="10" t="s">
        <v>527</v>
      </c>
      <c r="D128" s="10" t="s">
        <v>70</v>
      </c>
      <c r="E128" s="10" t="n">
        <v>0.65</v>
      </c>
      <c r="F128" s="10" t="s">
        <v>26</v>
      </c>
      <c r="G128" s="13" t="n">
        <f aca="false">Dashboard!$B$3</f>
        <v>1</v>
      </c>
      <c r="H128" s="13" t="n">
        <f aca="false">MAX(Dashboard!$B$4,G128*E128)</f>
        <v>0.65</v>
      </c>
      <c r="I128" s="13" t="n">
        <v>1</v>
      </c>
      <c r="J128" s="13"/>
      <c r="K128" s="13"/>
      <c r="L128" s="14"/>
      <c r="M128" s="13"/>
      <c r="N128" s="13"/>
      <c r="O128" s="14"/>
      <c r="P128" s="15"/>
      <c r="Q128" s="14"/>
    </row>
    <row r="129" customFormat="false" ht="15" hidden="false" customHeight="false" outlineLevel="0" collapsed="false">
      <c r="A129" s="10" t="s">
        <v>528</v>
      </c>
      <c r="B129" s="17" t="s">
        <v>529</v>
      </c>
      <c r="C129" s="10" t="s">
        <v>530</v>
      </c>
      <c r="D129" s="10" t="s">
        <v>70</v>
      </c>
      <c r="E129" s="10" t="n">
        <v>0.55</v>
      </c>
      <c r="F129" s="10" t="s">
        <v>30</v>
      </c>
      <c r="G129" s="13" t="n">
        <f aca="false">Dashboard!$B$3</f>
        <v>1</v>
      </c>
      <c r="H129" s="13" t="n">
        <f aca="false">MAX(Dashboard!$B$4,G129*E129)</f>
        <v>0.55</v>
      </c>
      <c r="I129" s="13" t="n">
        <v>1</v>
      </c>
      <c r="J129" s="13"/>
      <c r="K129" s="13"/>
      <c r="L129" s="14"/>
      <c r="M129" s="13"/>
      <c r="N129" s="13"/>
      <c r="O129" s="14"/>
      <c r="P129" s="15"/>
      <c r="Q129" s="14"/>
    </row>
    <row r="130" customFormat="false" ht="15" hidden="false" customHeight="false" outlineLevel="0" collapsed="false">
      <c r="A130" s="10" t="s">
        <v>531</v>
      </c>
      <c r="B130" s="11" t="s">
        <v>531</v>
      </c>
      <c r="C130" s="10" t="s">
        <v>532</v>
      </c>
      <c r="D130" s="10" t="s">
        <v>533</v>
      </c>
      <c r="E130" s="10" t="n">
        <v>0.3</v>
      </c>
      <c r="F130" s="10" t="s">
        <v>57</v>
      </c>
      <c r="G130" s="13" t="n">
        <f aca="false">Dashboard!$B$3</f>
        <v>1</v>
      </c>
      <c r="H130" s="13" t="n">
        <f aca="false">MAX(Dashboard!$B$4,G130*E130)</f>
        <v>0.49</v>
      </c>
      <c r="I130" s="13" t="n">
        <v>1</v>
      </c>
      <c r="J130" s="13"/>
      <c r="K130" s="13"/>
      <c r="L130" s="14"/>
      <c r="M130" s="13"/>
      <c r="N130" s="13"/>
      <c r="O130" s="14"/>
      <c r="P130" s="15"/>
      <c r="Q130" s="14"/>
    </row>
    <row r="131" customFormat="false" ht="15" hidden="false" customHeight="false" outlineLevel="0" collapsed="false">
      <c r="A131" s="10" t="s">
        <v>534</v>
      </c>
      <c r="B131" s="17" t="s">
        <v>535</v>
      </c>
      <c r="C131" s="10" t="s">
        <v>536</v>
      </c>
      <c r="D131" s="10" t="s">
        <v>91</v>
      </c>
      <c r="E131" s="10" t="n">
        <v>0.9</v>
      </c>
      <c r="F131" s="10" t="s">
        <v>22</v>
      </c>
      <c r="G131" s="13" t="n">
        <f aca="false">Dashboard!$B$3</f>
        <v>1</v>
      </c>
      <c r="H131" s="13" t="n">
        <f aca="false">MAX(Dashboard!$B$4,G131*E131)</f>
        <v>0.9</v>
      </c>
      <c r="I131" s="13" t="n">
        <v>1</v>
      </c>
      <c r="J131" s="13"/>
      <c r="K131" s="13"/>
      <c r="L131" s="14"/>
      <c r="M131" s="13"/>
      <c r="N131" s="13"/>
      <c r="O131" s="14"/>
      <c r="P131" s="15"/>
      <c r="Q131" s="14"/>
    </row>
    <row r="132" customFormat="false" ht="15" hidden="false" customHeight="false" outlineLevel="0" collapsed="false">
      <c r="A132" s="10" t="s">
        <v>537</v>
      </c>
      <c r="B132" s="17" t="s">
        <v>538</v>
      </c>
      <c r="C132" s="10" t="s">
        <v>539</v>
      </c>
      <c r="D132" s="10" t="s">
        <v>540</v>
      </c>
      <c r="E132" s="10" t="n">
        <v>0.8</v>
      </c>
      <c r="F132" s="10" t="s">
        <v>26</v>
      </c>
      <c r="G132" s="13" t="n">
        <f aca="false">Dashboard!$B$3</f>
        <v>1</v>
      </c>
      <c r="H132" s="13" t="n">
        <f aca="false">MAX(Dashboard!$B$4,G132*E132)</f>
        <v>0.8</v>
      </c>
      <c r="I132" s="13" t="n">
        <v>1</v>
      </c>
      <c r="J132" s="13"/>
      <c r="K132" s="13"/>
      <c r="L132" s="14"/>
      <c r="M132" s="13"/>
      <c r="N132" s="13"/>
      <c r="O132" s="14"/>
      <c r="P132" s="15"/>
      <c r="Q132" s="14"/>
    </row>
    <row r="133" customFormat="false" ht="15" hidden="false" customHeight="false" outlineLevel="0" collapsed="false">
      <c r="A133" s="10" t="s">
        <v>541</v>
      </c>
      <c r="B133" s="17" t="s">
        <v>542</v>
      </c>
      <c r="C133" s="10" t="s">
        <v>543</v>
      </c>
      <c r="D133" s="10" t="s">
        <v>119</v>
      </c>
      <c r="E133" s="10" t="n">
        <v>0.2</v>
      </c>
      <c r="F133" s="10" t="s">
        <v>66</v>
      </c>
      <c r="G133" s="13" t="n">
        <f aca="false">Dashboard!$B$3</f>
        <v>1</v>
      </c>
      <c r="H133" s="13" t="n">
        <f aca="false">MAX(Dashboard!$B$4,G133*E133)</f>
        <v>0.49</v>
      </c>
      <c r="I133" s="13" t="n">
        <v>1</v>
      </c>
      <c r="J133" s="13"/>
      <c r="K133" s="13"/>
      <c r="L133" s="14"/>
      <c r="M133" s="13"/>
      <c r="N133" s="13"/>
      <c r="O133" s="14"/>
      <c r="P133" s="15"/>
      <c r="Q133" s="14"/>
    </row>
    <row r="134" customFormat="false" ht="15" hidden="false" customHeight="false" outlineLevel="0" collapsed="false">
      <c r="A134" s="10" t="s">
        <v>544</v>
      </c>
      <c r="B134" s="11" t="s">
        <v>545</v>
      </c>
      <c r="C134" s="10" t="s">
        <v>546</v>
      </c>
      <c r="D134" s="10" t="s">
        <v>547</v>
      </c>
      <c r="E134" s="10" t="n">
        <v>0.45</v>
      </c>
      <c r="F134" s="10" t="s">
        <v>30</v>
      </c>
      <c r="G134" s="13" t="n">
        <f aca="false">Dashboard!$B$3</f>
        <v>1</v>
      </c>
      <c r="H134" s="13" t="n">
        <f aca="false">MAX(Dashboard!$B$4,G134*E134)</f>
        <v>0.49</v>
      </c>
      <c r="I134" s="13" t="n">
        <v>1</v>
      </c>
      <c r="J134" s="13"/>
      <c r="K134" s="13"/>
      <c r="L134" s="14"/>
      <c r="M134" s="13"/>
      <c r="N134" s="13"/>
      <c r="O134" s="14"/>
      <c r="P134" s="15"/>
      <c r="Q134" s="14"/>
    </row>
    <row r="135" customFormat="false" ht="15" hidden="false" customHeight="false" outlineLevel="0" collapsed="false">
      <c r="A135" s="10" t="s">
        <v>548</v>
      </c>
      <c r="B135" s="17" t="s">
        <v>549</v>
      </c>
      <c r="C135" s="10" t="s">
        <v>550</v>
      </c>
      <c r="D135" s="10" t="s">
        <v>551</v>
      </c>
      <c r="E135" s="10" t="n">
        <v>0.65</v>
      </c>
      <c r="F135" s="10" t="s">
        <v>26</v>
      </c>
      <c r="G135" s="13" t="n">
        <f aca="false">Dashboard!$B$3</f>
        <v>1</v>
      </c>
      <c r="H135" s="13" t="n">
        <f aca="false">MAX(Dashboard!$B$4,G135*E135)</f>
        <v>0.65</v>
      </c>
      <c r="I135" s="13" t="n">
        <v>1</v>
      </c>
      <c r="J135" s="13"/>
      <c r="K135" s="13"/>
      <c r="L135" s="14"/>
      <c r="M135" s="13"/>
      <c r="N135" s="13"/>
      <c r="O135" s="14"/>
      <c r="P135" s="15"/>
      <c r="Q135" s="14"/>
    </row>
    <row r="136" customFormat="false" ht="15" hidden="false" customHeight="false" outlineLevel="0" collapsed="false">
      <c r="A136" s="10" t="s">
        <v>552</v>
      </c>
      <c r="B136" s="17" t="s">
        <v>553</v>
      </c>
      <c r="C136" s="10" t="s">
        <v>554</v>
      </c>
      <c r="D136" s="10" t="s">
        <v>555</v>
      </c>
      <c r="E136" s="10" t="n">
        <v>0.15</v>
      </c>
      <c r="F136" s="10" t="s">
        <v>66</v>
      </c>
      <c r="G136" s="13" t="n">
        <f aca="false">Dashboard!$B$3</f>
        <v>1</v>
      </c>
      <c r="H136" s="13" t="n">
        <f aca="false">MAX(Dashboard!$B$4,G136*E136)</f>
        <v>0.49</v>
      </c>
      <c r="I136" s="13" t="n">
        <v>1</v>
      </c>
      <c r="J136" s="13"/>
      <c r="K136" s="13"/>
      <c r="L136" s="14"/>
      <c r="M136" s="13"/>
      <c r="N136" s="13"/>
      <c r="O136" s="14"/>
      <c r="P136" s="15"/>
      <c r="Q136" s="14"/>
    </row>
    <row r="137" customFormat="false" ht="15" hidden="false" customHeight="false" outlineLevel="0" collapsed="false">
      <c r="A137" s="10" t="s">
        <v>556</v>
      </c>
      <c r="B137" s="17" t="s">
        <v>557</v>
      </c>
      <c r="C137" s="10" t="s">
        <v>558</v>
      </c>
      <c r="D137" s="10" t="s">
        <v>559</v>
      </c>
      <c r="E137" s="10" t="n">
        <v>1</v>
      </c>
      <c r="F137" s="10" t="s">
        <v>22</v>
      </c>
      <c r="G137" s="13" t="n">
        <f aca="false">Dashboard!$B$3</f>
        <v>1</v>
      </c>
      <c r="H137" s="13" t="n">
        <f aca="false">MAX(Dashboard!$B$4,G137*E137)</f>
        <v>1</v>
      </c>
      <c r="I137" s="13" t="n">
        <v>1</v>
      </c>
      <c r="J137" s="13"/>
      <c r="K137" s="13"/>
      <c r="L137" s="14"/>
      <c r="M137" s="13"/>
      <c r="N137" s="13"/>
      <c r="O137" s="14"/>
      <c r="P137" s="15"/>
      <c r="Q137" s="14"/>
    </row>
    <row r="138" customFormat="false" ht="15" hidden="false" customHeight="false" outlineLevel="0" collapsed="false">
      <c r="A138" s="10" t="s">
        <v>560</v>
      </c>
      <c r="B138" s="17" t="s">
        <v>561</v>
      </c>
      <c r="C138" s="10" t="s">
        <v>562</v>
      </c>
      <c r="D138" s="10" t="s">
        <v>91</v>
      </c>
      <c r="E138" s="10" t="n">
        <v>0.6</v>
      </c>
      <c r="F138" s="10" t="s">
        <v>30</v>
      </c>
      <c r="G138" s="13" t="n">
        <f aca="false">Dashboard!$B$3</f>
        <v>1</v>
      </c>
      <c r="H138" s="13" t="n">
        <f aca="false">MAX(Dashboard!$B$4,G138*E138)</f>
        <v>0.6</v>
      </c>
      <c r="I138" s="13" t="n">
        <v>1</v>
      </c>
      <c r="J138" s="13"/>
      <c r="K138" s="13"/>
      <c r="L138" s="14"/>
      <c r="M138" s="13"/>
      <c r="N138" s="13"/>
      <c r="O138" s="14"/>
      <c r="P138" s="15"/>
      <c r="Q138" s="14"/>
    </row>
    <row r="139" customFormat="false" ht="15" hidden="false" customHeight="false" outlineLevel="0" collapsed="false">
      <c r="A139" s="10" t="s">
        <v>563</v>
      </c>
      <c r="B139" s="17" t="s">
        <v>564</v>
      </c>
      <c r="C139" s="10" t="s">
        <v>565</v>
      </c>
      <c r="D139" s="10" t="s">
        <v>91</v>
      </c>
      <c r="E139" s="10" t="n">
        <v>0.7</v>
      </c>
      <c r="F139" s="10" t="s">
        <v>26</v>
      </c>
      <c r="G139" s="13" t="n">
        <f aca="false">Dashboard!$B$3</f>
        <v>1</v>
      </c>
      <c r="H139" s="13" t="n">
        <f aca="false">MAX(Dashboard!$B$4,G139*E139)</f>
        <v>0.7</v>
      </c>
      <c r="I139" s="13" t="n">
        <v>1</v>
      </c>
      <c r="J139" s="13"/>
      <c r="K139" s="13"/>
      <c r="L139" s="14"/>
      <c r="M139" s="13"/>
      <c r="N139" s="13"/>
      <c r="O139" s="14"/>
      <c r="P139" s="15"/>
      <c r="Q139" s="14"/>
    </row>
    <row r="140" customFormat="false" ht="15" hidden="false" customHeight="false" outlineLevel="0" collapsed="false">
      <c r="A140" s="10" t="s">
        <v>566</v>
      </c>
      <c r="B140" s="17" t="s">
        <v>567</v>
      </c>
      <c r="C140" s="10" t="s">
        <v>568</v>
      </c>
      <c r="D140" s="10" t="s">
        <v>569</v>
      </c>
      <c r="E140" s="10" t="n">
        <v>0.22</v>
      </c>
      <c r="F140" s="10" t="s">
        <v>66</v>
      </c>
      <c r="G140" s="13" t="n">
        <f aca="false">Dashboard!$B$3</f>
        <v>1</v>
      </c>
      <c r="H140" s="13" t="n">
        <f aca="false">MAX(Dashboard!$B$4,G140*E140)</f>
        <v>0.49</v>
      </c>
      <c r="I140" s="13" t="n">
        <v>1</v>
      </c>
      <c r="J140" s="13"/>
      <c r="K140" s="13"/>
      <c r="L140" s="14"/>
      <c r="M140" s="13"/>
      <c r="N140" s="13"/>
      <c r="O140" s="14"/>
      <c r="P140" s="15"/>
      <c r="Q140" s="14"/>
    </row>
    <row r="141" customFormat="false" ht="15" hidden="false" customHeight="false" outlineLevel="0" collapsed="false">
      <c r="A141" s="10" t="s">
        <v>570</v>
      </c>
      <c r="B141" s="17" t="s">
        <v>571</v>
      </c>
      <c r="C141" s="10" t="s">
        <v>572</v>
      </c>
      <c r="D141" s="10" t="s">
        <v>573</v>
      </c>
      <c r="E141" s="10" t="n">
        <v>0.12</v>
      </c>
      <c r="F141" s="10" t="s">
        <v>66</v>
      </c>
      <c r="G141" s="13" t="n">
        <f aca="false">Dashboard!$B$3</f>
        <v>1</v>
      </c>
      <c r="H141" s="13" t="n">
        <f aca="false">MAX(Dashboard!$B$4,G141*E141)</f>
        <v>0.49</v>
      </c>
      <c r="I141" s="13" t="n">
        <v>1</v>
      </c>
      <c r="J141" s="13"/>
      <c r="K141" s="13"/>
      <c r="L141" s="14"/>
      <c r="M141" s="13"/>
      <c r="N141" s="13"/>
      <c r="O141" s="14"/>
      <c r="P141" s="15"/>
      <c r="Q141" s="14"/>
    </row>
    <row r="142" customFormat="false" ht="15" hidden="false" customHeight="false" outlineLevel="0" collapsed="false">
      <c r="A142" s="10" t="s">
        <v>574</v>
      </c>
      <c r="B142" s="11" t="s">
        <v>575</v>
      </c>
      <c r="C142" s="10" t="s">
        <v>576</v>
      </c>
      <c r="D142" s="10" t="s">
        <v>577</v>
      </c>
      <c r="E142" s="10" t="n">
        <v>0.35</v>
      </c>
      <c r="F142" s="10" t="s">
        <v>57</v>
      </c>
      <c r="G142" s="13" t="n">
        <f aca="false">Dashboard!$B$3</f>
        <v>1</v>
      </c>
      <c r="H142" s="13" t="n">
        <f aca="false">MAX(Dashboard!$B$4,G142*E142)</f>
        <v>0.49</v>
      </c>
      <c r="I142" s="13" t="n">
        <v>1</v>
      </c>
      <c r="J142" s="13"/>
      <c r="K142" s="13"/>
      <c r="L142" s="14"/>
      <c r="M142" s="13"/>
      <c r="N142" s="13"/>
      <c r="O142" s="14"/>
      <c r="P142" s="15"/>
      <c r="Q142" s="14"/>
    </row>
    <row r="143" customFormat="false" ht="25" hidden="false" customHeight="false" outlineLevel="0" collapsed="false">
      <c r="A143" s="10" t="s">
        <v>578</v>
      </c>
      <c r="B143" s="14" t="s">
        <v>579</v>
      </c>
      <c r="C143" s="10" t="s">
        <v>580</v>
      </c>
      <c r="D143" s="14" t="s">
        <v>581</v>
      </c>
      <c r="E143" s="16" t="n">
        <v>0.7</v>
      </c>
      <c r="F143" s="14" t="str">
        <f aca="false">IF(E143&gt;=0.8,"A",IF(E143&gt;=0.6,"B",IF(E143&gt;=0.4,"C",IF(E143&gt;=0.2,"D","E"))))</f>
        <v>B</v>
      </c>
      <c r="G143" s="13" t="n">
        <f aca="false">Dashboard!$B$3</f>
        <v>1</v>
      </c>
      <c r="H143" s="13" t="n">
        <f aca="false">MAX(Dashboard!$B$4,G143*E143)</f>
        <v>0.7</v>
      </c>
      <c r="I143" s="13" t="n">
        <v>1</v>
      </c>
      <c r="J143" s="13" t="n">
        <v>1350</v>
      </c>
      <c r="K143" s="13" t="n">
        <f aca="false">H143*I143*J143</f>
        <v>945</v>
      </c>
      <c r="L143" s="14" t="s">
        <v>582</v>
      </c>
      <c r="M143" s="13" t="n">
        <f aca="false">IF(L143="TRY_TIERS",IF(K143&lt;25,19,IF(K143&lt;35,29,IF(K143&lt;45,39,IF(K143&lt;60,49,79)))),
IF(L143="INR_TIERS",IF(K143&lt;40,29,IF(K143&lt;70,49,99)),
IF(L143="BRL_90",IF(K143&lt;3,2.9,IF(K143&lt;6,4.9,IF(K143&lt;10,6.9,9.9))),
IF(L143="IDR_000",ROUND(K143/1000,0)*1000,
IF(L143="JPY_00",ROUND(K143/100,0)*100,
IF(L143="KRW_000",ROUND(K143/1000,0)*1000,
IF(L143="VND_000",ROUND(K143/1000,0)*1000,
IF(OR(L143="USD_99",L143="EUR_99",L143="GBP_99",L143="CAD_99",L143="AUD_99",L143="PLN_99"),MAX(0.49,ROUND(K143,0)-0.01),
IF(L143="MXN_00",ROUND(K143,0),IF(L143="THB_00",ROUND(K143,0),ROUND(K143,2)))))))))))</f>
        <v>1000</v>
      </c>
      <c r="N143" s="13" t="n">
        <f aca="false">M143/J143</f>
        <v>0.740740740740741</v>
      </c>
      <c r="O143" s="14" t="str">
        <f aca="false">IF(N143&lt;Dashboard!$B$4,"Below global min",IF(AND(E143&gt;=0.8,N143&lt;Dashboard!$B$5),"Raise high-PPP floor","OK"))</f>
        <v>OK</v>
      </c>
      <c r="P143" s="15" t="s">
        <v>583</v>
      </c>
      <c r="Q143" s="14"/>
    </row>
    <row r="144" customFormat="false" ht="15" hidden="false" customHeight="false" outlineLevel="0" collapsed="false">
      <c r="A144" s="10" t="s">
        <v>584</v>
      </c>
      <c r="B144" s="11" t="s">
        <v>585</v>
      </c>
      <c r="C144" s="10" t="s">
        <v>586</v>
      </c>
      <c r="D144" s="10" t="s">
        <v>91</v>
      </c>
      <c r="E144" s="10" t="n">
        <v>0.75</v>
      </c>
      <c r="F144" s="10" t="s">
        <v>26</v>
      </c>
      <c r="G144" s="13" t="n">
        <f aca="false">Dashboard!$B$3</f>
        <v>1</v>
      </c>
      <c r="H144" s="13" t="n">
        <f aca="false">MAX(Dashboard!$B$4,G144*E144)</f>
        <v>0.75</v>
      </c>
      <c r="I144" s="13" t="n">
        <v>1</v>
      </c>
      <c r="J144" s="13"/>
      <c r="K144" s="13"/>
      <c r="L144" s="14"/>
      <c r="M144" s="13"/>
      <c r="N144" s="13"/>
      <c r="O144" s="14"/>
      <c r="P144" s="15"/>
      <c r="Q144" s="14"/>
    </row>
    <row r="145" customFormat="false" ht="15" hidden="false" customHeight="false" outlineLevel="0" collapsed="false">
      <c r="A145" s="10" t="s">
        <v>587</v>
      </c>
      <c r="B145" s="11" t="s">
        <v>587</v>
      </c>
      <c r="C145" s="10" t="s">
        <v>588</v>
      </c>
      <c r="D145" s="10" t="s">
        <v>589</v>
      </c>
      <c r="E145" s="10" t="n">
        <v>0.2</v>
      </c>
      <c r="F145" s="10" t="s">
        <v>66</v>
      </c>
      <c r="G145" s="13" t="n">
        <f aca="false">Dashboard!$B$3</f>
        <v>1</v>
      </c>
      <c r="H145" s="13" t="n">
        <f aca="false">MAX(Dashboard!$B$4,G145*E145)</f>
        <v>0.49</v>
      </c>
      <c r="I145" s="13" t="n">
        <v>1</v>
      </c>
      <c r="J145" s="13"/>
      <c r="K145" s="13"/>
      <c r="L145" s="14"/>
      <c r="M145" s="13"/>
      <c r="N145" s="13"/>
      <c r="O145" s="14"/>
      <c r="P145" s="15"/>
      <c r="Q145" s="14"/>
    </row>
    <row r="146" customFormat="false" ht="15" hidden="false" customHeight="false" outlineLevel="0" collapsed="false">
      <c r="A146" s="10" t="s">
        <v>590</v>
      </c>
      <c r="B146" s="11" t="s">
        <v>591</v>
      </c>
      <c r="C146" s="10" t="s">
        <v>592</v>
      </c>
      <c r="D146" s="10" t="s">
        <v>593</v>
      </c>
      <c r="E146" s="10" t="n">
        <v>0.35</v>
      </c>
      <c r="F146" s="10" t="s">
        <v>57</v>
      </c>
      <c r="G146" s="13" t="n">
        <f aca="false">Dashboard!$B$3</f>
        <v>1</v>
      </c>
      <c r="H146" s="13" t="n">
        <f aca="false">MAX(Dashboard!$B$4,G146*E146)</f>
        <v>0.49</v>
      </c>
      <c r="I146" s="13" t="n">
        <v>1</v>
      </c>
      <c r="J146" s="13"/>
      <c r="K146" s="13"/>
      <c r="L146" s="14"/>
      <c r="M146" s="13"/>
      <c r="N146" s="13"/>
      <c r="O146" s="14"/>
      <c r="P146" s="15"/>
      <c r="Q146" s="14"/>
    </row>
    <row r="147" customFormat="false" ht="15" hidden="false" customHeight="false" outlineLevel="0" collapsed="false">
      <c r="A147" s="10" t="s">
        <v>594</v>
      </c>
      <c r="B147" s="17" t="s">
        <v>595</v>
      </c>
      <c r="C147" s="10" t="s">
        <v>596</v>
      </c>
      <c r="D147" s="10" t="s">
        <v>597</v>
      </c>
      <c r="E147" s="10" t="n">
        <v>0.87</v>
      </c>
      <c r="F147" s="10" t="s">
        <v>22</v>
      </c>
      <c r="G147" s="13" t="n">
        <f aca="false">Dashboard!$B$3</f>
        <v>1</v>
      </c>
      <c r="H147" s="13" t="n">
        <f aca="false">MAX(Dashboard!$B$4,G147*E147)</f>
        <v>0.87</v>
      </c>
      <c r="I147" s="13" t="n">
        <v>1</v>
      </c>
      <c r="J147" s="13"/>
      <c r="K147" s="13"/>
      <c r="L147" s="14"/>
      <c r="M147" s="13"/>
      <c r="N147" s="13"/>
      <c r="O147" s="14"/>
      <c r="P147" s="15"/>
      <c r="Q147" s="14"/>
    </row>
    <row r="148" customFormat="false" ht="15" hidden="false" customHeight="false" outlineLevel="0" collapsed="false">
      <c r="A148" s="10" t="s">
        <v>598</v>
      </c>
      <c r="B148" s="17" t="s">
        <v>599</v>
      </c>
      <c r="C148" s="10" t="s">
        <v>600</v>
      </c>
      <c r="D148" s="10" t="s">
        <v>601</v>
      </c>
      <c r="E148" s="10" t="n">
        <v>1</v>
      </c>
      <c r="F148" s="10" t="s">
        <v>22</v>
      </c>
      <c r="G148" s="13" t="n">
        <f aca="false">Dashboard!$B$3</f>
        <v>1</v>
      </c>
      <c r="H148" s="13" t="n">
        <f aca="false">MAX(Dashboard!$B$4,G148*E148)</f>
        <v>1</v>
      </c>
      <c r="I148" s="13" t="n">
        <v>1</v>
      </c>
      <c r="J148" s="13"/>
      <c r="K148" s="13"/>
      <c r="L148" s="14"/>
      <c r="M148" s="13"/>
      <c r="N148" s="13"/>
      <c r="O148" s="14"/>
      <c r="P148" s="15"/>
      <c r="Q148" s="14"/>
    </row>
    <row r="149" customFormat="false" ht="26" hidden="false" customHeight="false" outlineLevel="0" collapsed="false">
      <c r="A149" s="10" t="s">
        <v>602</v>
      </c>
      <c r="B149" s="17" t="s">
        <v>603</v>
      </c>
      <c r="C149" s="10" t="s">
        <v>604</v>
      </c>
      <c r="D149" s="10" t="s">
        <v>605</v>
      </c>
      <c r="E149" s="10" t="n">
        <v>0.8</v>
      </c>
      <c r="F149" s="10" t="s">
        <v>26</v>
      </c>
      <c r="G149" s="13" t="n">
        <f aca="false">Dashboard!$B$3</f>
        <v>1</v>
      </c>
      <c r="H149" s="13" t="n">
        <f aca="false">MAX(Dashboard!$B$4,G149*E149)</f>
        <v>0.8</v>
      </c>
      <c r="I149" s="13" t="n">
        <v>1</v>
      </c>
      <c r="J149" s="13"/>
      <c r="K149" s="13"/>
      <c r="L149" s="14"/>
      <c r="M149" s="13"/>
      <c r="N149" s="13"/>
      <c r="O149" s="14"/>
      <c r="P149" s="15"/>
      <c r="Q149" s="14"/>
    </row>
    <row r="150" customFormat="false" ht="15" hidden="false" customHeight="false" outlineLevel="0" collapsed="false">
      <c r="A150" s="10" t="s">
        <v>606</v>
      </c>
      <c r="B150" s="17" t="s">
        <v>607</v>
      </c>
      <c r="C150" s="10" t="s">
        <v>608</v>
      </c>
      <c r="D150" s="10" t="s">
        <v>609</v>
      </c>
      <c r="E150" s="10" t="n">
        <v>0.2</v>
      </c>
      <c r="F150" s="10" t="s">
        <v>66</v>
      </c>
      <c r="G150" s="13" t="n">
        <f aca="false">Dashboard!$B$3</f>
        <v>1</v>
      </c>
      <c r="H150" s="13" t="n">
        <f aca="false">MAX(Dashboard!$B$4,G150*E150)</f>
        <v>0.49</v>
      </c>
      <c r="I150" s="13" t="n">
        <v>1</v>
      </c>
      <c r="J150" s="13"/>
      <c r="K150" s="13"/>
      <c r="L150" s="14"/>
      <c r="M150" s="13"/>
      <c r="N150" s="13"/>
      <c r="O150" s="14"/>
      <c r="P150" s="15"/>
      <c r="Q150" s="14"/>
    </row>
    <row r="151" customFormat="false" ht="15" hidden="false" customHeight="false" outlineLevel="0" collapsed="false">
      <c r="A151" s="10" t="s">
        <v>610</v>
      </c>
      <c r="B151" s="11" t="s">
        <v>611</v>
      </c>
      <c r="C151" s="10" t="s">
        <v>612</v>
      </c>
      <c r="D151" s="10" t="s">
        <v>613</v>
      </c>
      <c r="E151" s="10" t="n">
        <v>0.2</v>
      </c>
      <c r="F151" s="10" t="s">
        <v>66</v>
      </c>
      <c r="G151" s="13" t="n">
        <f aca="false">Dashboard!$B$3</f>
        <v>1</v>
      </c>
      <c r="H151" s="13" t="n">
        <f aca="false">MAX(Dashboard!$B$4,G151*E151)</f>
        <v>0.49</v>
      </c>
      <c r="I151" s="13" t="n">
        <v>1</v>
      </c>
      <c r="J151" s="13"/>
      <c r="K151" s="13"/>
      <c r="L151" s="14"/>
      <c r="M151" s="13"/>
      <c r="N151" s="13"/>
      <c r="O151" s="14"/>
      <c r="P151" s="15"/>
      <c r="Q151" s="14"/>
    </row>
    <row r="152" customFormat="false" ht="25" hidden="false" customHeight="false" outlineLevel="0" collapsed="false">
      <c r="A152" s="10" t="s">
        <v>614</v>
      </c>
      <c r="B152" s="14" t="s">
        <v>615</v>
      </c>
      <c r="C152" s="10" t="s">
        <v>616</v>
      </c>
      <c r="D152" s="14" t="s">
        <v>617</v>
      </c>
      <c r="E152" s="16" t="n">
        <v>0.32</v>
      </c>
      <c r="F152" s="14" t="str">
        <f aca="false">IF(E152&gt;=0.8,"A",IF(E152&gt;=0.6,"B",IF(E152&gt;=0.4,"C",IF(E152&gt;=0.2,"D","E"))))</f>
        <v>D</v>
      </c>
      <c r="G152" s="13" t="n">
        <f aca="false">Dashboard!$B$3</f>
        <v>1</v>
      </c>
      <c r="H152" s="13" t="n">
        <f aca="false">MAX(Dashboard!$B$4,G152*E152)</f>
        <v>0.49</v>
      </c>
      <c r="I152" s="18" t="n">
        <v>0.85</v>
      </c>
      <c r="J152" s="13" t="n">
        <v>36</v>
      </c>
      <c r="K152" s="13" t="n">
        <f aca="false">H152*I152*J152</f>
        <v>14.994</v>
      </c>
      <c r="L152" s="14" t="s">
        <v>618</v>
      </c>
      <c r="M152" s="13" t="n">
        <f aca="false">IF(L152="TRY_TIERS",IF(K152&lt;25,19,IF(K152&lt;35,29,IF(K152&lt;45,39,IF(K152&lt;60,49,79)))),
IF(L152="INR_TIERS",IF(K152&lt;40,29,IF(K152&lt;70,49,99)),
IF(L152="BRL_90",IF(K152&lt;3,2.9,IF(K152&lt;6,4.9,IF(K152&lt;10,6.9,9.9))),
IF(L152="IDR_000",ROUND(K152/1000,0)*1000,
IF(L152="JPY_00",ROUND(K152/100,0)*100,
IF(L152="KRW_000",ROUND(K152/1000,0)*1000,
IF(L152="VND_000",ROUND(K152/1000,0)*1000,
IF(OR(L152="USD_99",L152="EUR_99",L152="GBP_99",L152="CAD_99",L152="AUD_99",L152="PLN_99"),MAX(0.49,ROUND(K152,0)-0.01),
IF(L152="MXN_00",ROUND(K152,0),IF(L152="THB_00",ROUND(K152,0),ROUND(K152,2)))))))))))</f>
        <v>15</v>
      </c>
      <c r="N152" s="13" t="n">
        <f aca="false">M152/J152</f>
        <v>0.416666666666667</v>
      </c>
      <c r="O152" s="14" t="str">
        <f aca="false">IF(N152&lt;Dashboard!$B$4,"Below global min",IF(AND(E152&gt;=0.8,N152&lt;Dashboard!$B$5),"Raise high-PPP floor","OK"))</f>
        <v>Below global min</v>
      </c>
      <c r="P152" s="15" t="s">
        <v>619</v>
      </c>
      <c r="Q152" s="14"/>
    </row>
    <row r="153" customFormat="false" ht="15" hidden="false" customHeight="false" outlineLevel="0" collapsed="false">
      <c r="A153" s="10" t="s">
        <v>620</v>
      </c>
      <c r="B153" s="11" t="s">
        <v>620</v>
      </c>
      <c r="C153" s="10" t="s">
        <v>621</v>
      </c>
      <c r="D153" s="10" t="s">
        <v>119</v>
      </c>
      <c r="E153" s="10" t="n">
        <v>0.18</v>
      </c>
      <c r="F153" s="10" t="s">
        <v>66</v>
      </c>
      <c r="G153" s="13" t="n">
        <f aca="false">Dashboard!$B$3</f>
        <v>1</v>
      </c>
      <c r="H153" s="13" t="n">
        <f aca="false">MAX(Dashboard!$B$4,G153*E153)</f>
        <v>0.49</v>
      </c>
      <c r="I153" s="13" t="n">
        <v>1</v>
      </c>
      <c r="J153" s="13"/>
      <c r="K153" s="13"/>
      <c r="L153" s="14"/>
      <c r="M153" s="13"/>
      <c r="N153" s="13"/>
      <c r="O153" s="14"/>
      <c r="P153" s="15"/>
      <c r="Q153" s="14"/>
    </row>
    <row r="154" customFormat="false" ht="15" hidden="false" customHeight="false" outlineLevel="0" collapsed="false">
      <c r="A154" s="10" t="s">
        <v>622</v>
      </c>
      <c r="B154" s="11" t="s">
        <v>622</v>
      </c>
      <c r="C154" s="10" t="s">
        <v>623</v>
      </c>
      <c r="D154" s="10" t="s">
        <v>624</v>
      </c>
      <c r="E154" s="10" t="n">
        <v>0.3</v>
      </c>
      <c r="F154" s="10" t="s">
        <v>57</v>
      </c>
      <c r="G154" s="13" t="n">
        <f aca="false">Dashboard!$B$3</f>
        <v>1</v>
      </c>
      <c r="H154" s="13" t="n">
        <f aca="false">MAX(Dashboard!$B$4,G154*E154)</f>
        <v>0.49</v>
      </c>
      <c r="I154" s="13" t="n">
        <v>1</v>
      </c>
      <c r="J154" s="13"/>
      <c r="K154" s="13"/>
      <c r="L154" s="14"/>
      <c r="M154" s="13"/>
      <c r="N154" s="13"/>
      <c r="O154" s="14"/>
      <c r="P154" s="15"/>
      <c r="Q154" s="14"/>
    </row>
    <row r="155" customFormat="false" ht="15" hidden="false" customHeight="false" outlineLevel="0" collapsed="false">
      <c r="A155" s="10" t="s">
        <v>625</v>
      </c>
      <c r="B155" s="17" t="s">
        <v>626</v>
      </c>
      <c r="C155" s="10" t="s">
        <v>627</v>
      </c>
      <c r="D155" s="10" t="s">
        <v>628</v>
      </c>
      <c r="E155" s="10" t="n">
        <v>0.55</v>
      </c>
      <c r="F155" s="10" t="s">
        <v>30</v>
      </c>
      <c r="G155" s="13" t="n">
        <f aca="false">Dashboard!$B$3</f>
        <v>1</v>
      </c>
      <c r="H155" s="13" t="n">
        <f aca="false">MAX(Dashboard!$B$4,G155*E155)</f>
        <v>0.55</v>
      </c>
      <c r="I155" s="13" t="n">
        <v>1</v>
      </c>
      <c r="J155" s="13"/>
      <c r="K155" s="13"/>
      <c r="L155" s="14"/>
      <c r="M155" s="13"/>
      <c r="N155" s="13"/>
      <c r="O155" s="14"/>
      <c r="P155" s="15"/>
      <c r="Q155" s="14"/>
    </row>
    <row r="156" customFormat="false" ht="15" hidden="false" customHeight="false" outlineLevel="0" collapsed="false">
      <c r="A156" s="10" t="s">
        <v>629</v>
      </c>
      <c r="B156" s="17" t="s">
        <v>630</v>
      </c>
      <c r="C156" s="10" t="s">
        <v>631</v>
      </c>
      <c r="D156" s="10" t="s">
        <v>632</v>
      </c>
      <c r="E156" s="10" t="n">
        <v>0.3</v>
      </c>
      <c r="F156" s="10" t="s">
        <v>57</v>
      </c>
      <c r="G156" s="13" t="n">
        <f aca="false">Dashboard!$B$3</f>
        <v>1</v>
      </c>
      <c r="H156" s="13" t="n">
        <f aca="false">MAX(Dashboard!$B$4,G156*E156)</f>
        <v>0.49</v>
      </c>
      <c r="I156" s="13" t="n">
        <v>1</v>
      </c>
      <c r="J156" s="13"/>
      <c r="K156" s="13"/>
      <c r="L156" s="14"/>
      <c r="M156" s="13"/>
      <c r="N156" s="13"/>
      <c r="O156" s="14"/>
      <c r="P156" s="15"/>
      <c r="Q156" s="14"/>
    </row>
    <row r="157" customFormat="false" ht="25" hidden="false" customHeight="false" outlineLevel="0" collapsed="false">
      <c r="A157" s="10" t="s">
        <v>633</v>
      </c>
      <c r="B157" s="14" t="s">
        <v>633</v>
      </c>
      <c r="C157" s="10" t="s">
        <v>634</v>
      </c>
      <c r="D157" s="14" t="s">
        <v>635</v>
      </c>
      <c r="E157" s="16" t="n">
        <v>0.4</v>
      </c>
      <c r="F157" s="14" t="str">
        <f aca="false">IF(E157&gt;=0.8,"A",IF(E157&gt;=0.6,"B",IF(E157&gt;=0.4,"C",IF(E157&gt;=0.2,"D","E"))))</f>
        <v>C</v>
      </c>
      <c r="G157" s="13" t="n">
        <f aca="false">Dashboard!$B$3</f>
        <v>1</v>
      </c>
      <c r="H157" s="13" t="n">
        <f aca="false">MAX(Dashboard!$B$4,G157*E157)</f>
        <v>0.49</v>
      </c>
      <c r="I157" s="18" t="n">
        <v>0.9</v>
      </c>
      <c r="J157" s="13" t="n">
        <v>32</v>
      </c>
      <c r="K157" s="13" t="n">
        <f aca="false">H157*I157*J157</f>
        <v>14.112</v>
      </c>
      <c r="L157" s="14" t="s">
        <v>636</v>
      </c>
      <c r="M157" s="13" t="n">
        <f aca="false">IF(L157="TRY_TIERS",IF(K157&lt;25,19,IF(K157&lt;35,29,IF(K157&lt;45,39,IF(K157&lt;60,49,79)))),
IF(L157="INR_TIERS",IF(K157&lt;40,29,IF(K157&lt;70,49,99)),
IF(L157="BRL_90",IF(K157&lt;3,2.9,IF(K157&lt;6,4.9,IF(K157&lt;10,6.9,9.9))),
IF(L157="IDR_000",ROUND(K157/1000,0)*1000,
IF(L157="JPY_00",ROUND(K157/100,0)*100,
IF(L157="KRW_000",ROUND(K157/1000,0)*1000,
IF(L157="VND_000",ROUND(K157/1000,0)*1000,
IF(OR(L157="USD_99",L157="EUR_99",L157="GBP_99",L157="CAD_99",L157="AUD_99",L157="PLN_99"),MAX(0.49,ROUND(K157,0)-0.01),
IF(L157="MXN_00",ROUND(K157,0),IF(L157="THB_00",ROUND(K157,0),ROUND(K157,2)))))))))))</f>
        <v>19</v>
      </c>
      <c r="N157" s="13" t="n">
        <f aca="false">M157/J157</f>
        <v>0.59375</v>
      </c>
      <c r="O157" s="14" t="str">
        <f aca="false">IF(N157&lt;Dashboard!$B$4,"Below global min",IF(AND(E157&gt;=0.8,N157&lt;Dashboard!$B$5),"Raise high-PPP floor","OK"))</f>
        <v>OK</v>
      </c>
      <c r="P157" s="15" t="s">
        <v>637</v>
      </c>
      <c r="Q157" s="14" t="s">
        <v>638</v>
      </c>
    </row>
    <row r="158" customFormat="false" ht="15" hidden="false" customHeight="false" outlineLevel="0" collapsed="false">
      <c r="A158" s="10" t="s">
        <v>639</v>
      </c>
      <c r="B158" s="17" t="s">
        <v>640</v>
      </c>
      <c r="C158" s="10" t="s">
        <v>641</v>
      </c>
      <c r="D158" s="10" t="s">
        <v>642</v>
      </c>
      <c r="E158" s="10" t="n">
        <v>0.3</v>
      </c>
      <c r="F158" s="10" t="s">
        <v>57</v>
      </c>
      <c r="G158" s="13" t="n">
        <f aca="false">Dashboard!$B$3</f>
        <v>1</v>
      </c>
      <c r="H158" s="13" t="n">
        <f aca="false">MAX(Dashboard!$B$4,G158*E158)</f>
        <v>0.49</v>
      </c>
      <c r="I158" s="13" t="n">
        <v>1</v>
      </c>
      <c r="J158" s="13"/>
      <c r="K158" s="13"/>
      <c r="L158" s="14"/>
      <c r="M158" s="13"/>
      <c r="N158" s="13"/>
      <c r="O158" s="14"/>
      <c r="P158" s="15"/>
      <c r="Q158" s="14"/>
    </row>
    <row r="159" customFormat="false" ht="26" hidden="false" customHeight="false" outlineLevel="0" collapsed="false">
      <c r="A159" s="10" t="s">
        <v>643</v>
      </c>
      <c r="B159" s="17" t="s">
        <v>644</v>
      </c>
      <c r="C159" s="10" t="s">
        <v>645</v>
      </c>
      <c r="D159" s="10" t="s">
        <v>226</v>
      </c>
      <c r="E159" s="10" t="n">
        <v>0.8</v>
      </c>
      <c r="F159" s="10" t="s">
        <v>26</v>
      </c>
      <c r="G159" s="13" t="n">
        <f aca="false">Dashboard!$B$3</f>
        <v>1</v>
      </c>
      <c r="H159" s="13" t="n">
        <f aca="false">MAX(Dashboard!$B$4,G159*E159)</f>
        <v>0.8</v>
      </c>
      <c r="I159" s="13" t="n">
        <v>1</v>
      </c>
      <c r="J159" s="13"/>
      <c r="K159" s="13"/>
      <c r="L159" s="14"/>
      <c r="M159" s="13"/>
      <c r="N159" s="13"/>
      <c r="O159" s="14"/>
      <c r="P159" s="15"/>
      <c r="Q159" s="14"/>
    </row>
    <row r="160" customFormat="false" ht="15" hidden="false" customHeight="false" outlineLevel="0" collapsed="false">
      <c r="A160" s="10" t="s">
        <v>646</v>
      </c>
      <c r="B160" s="11" t="s">
        <v>646</v>
      </c>
      <c r="C160" s="10" t="s">
        <v>647</v>
      </c>
      <c r="D160" s="10" t="s">
        <v>648</v>
      </c>
      <c r="E160" s="10" t="n">
        <v>0.18</v>
      </c>
      <c r="F160" s="10" t="s">
        <v>66</v>
      </c>
      <c r="G160" s="13" t="n">
        <f aca="false">Dashboard!$B$3</f>
        <v>1</v>
      </c>
      <c r="H160" s="13" t="n">
        <f aca="false">MAX(Dashboard!$B$4,G160*E160)</f>
        <v>0.49</v>
      </c>
      <c r="I160" s="13" t="n">
        <v>1</v>
      </c>
      <c r="J160" s="13"/>
      <c r="K160" s="13"/>
      <c r="L160" s="14"/>
      <c r="M160" s="13"/>
      <c r="N160" s="13"/>
      <c r="O160" s="14"/>
      <c r="P160" s="15"/>
      <c r="Q160" s="14"/>
    </row>
    <row r="161" customFormat="false" ht="15" hidden="false" customHeight="false" outlineLevel="0" collapsed="false">
      <c r="A161" s="10" t="s">
        <v>649</v>
      </c>
      <c r="B161" s="17" t="s">
        <v>650</v>
      </c>
      <c r="C161" s="10" t="s">
        <v>651</v>
      </c>
      <c r="D161" s="10" t="s">
        <v>652</v>
      </c>
      <c r="E161" s="10" t="n">
        <v>0.35</v>
      </c>
      <c r="F161" s="10" t="s">
        <v>57</v>
      </c>
      <c r="G161" s="13" t="n">
        <f aca="false">Dashboard!$B$3</f>
        <v>1</v>
      </c>
      <c r="H161" s="13" t="n">
        <f aca="false">MAX(Dashboard!$B$4,G161*E161)</f>
        <v>0.49</v>
      </c>
      <c r="I161" s="13" t="n">
        <v>1</v>
      </c>
      <c r="J161" s="13"/>
      <c r="K161" s="13"/>
      <c r="L161" s="14"/>
      <c r="M161" s="13"/>
      <c r="N161" s="13"/>
      <c r="O161" s="14"/>
      <c r="P161" s="15"/>
      <c r="Q161" s="14"/>
    </row>
    <row r="162" customFormat="false" ht="15" hidden="false" customHeight="false" outlineLevel="0" collapsed="false">
      <c r="A162" s="10" t="s">
        <v>653</v>
      </c>
      <c r="B162" s="11" t="s">
        <v>654</v>
      </c>
      <c r="C162" s="10" t="s">
        <v>655</v>
      </c>
      <c r="D162" s="10" t="s">
        <v>656</v>
      </c>
      <c r="E162" s="10" t="n">
        <v>0.85</v>
      </c>
      <c r="F162" s="10" t="s">
        <v>22</v>
      </c>
      <c r="G162" s="13" t="n">
        <f aca="false">Dashboard!$B$3</f>
        <v>1</v>
      </c>
      <c r="H162" s="13" t="n">
        <f aca="false">MAX(Dashboard!$B$4,G162*E162)</f>
        <v>0.85</v>
      </c>
      <c r="I162" s="13" t="n">
        <v>1</v>
      </c>
      <c r="J162" s="13"/>
      <c r="K162" s="13"/>
      <c r="L162" s="14"/>
      <c r="M162" s="13"/>
      <c r="N162" s="13"/>
      <c r="O162" s="14"/>
      <c r="P162" s="15"/>
      <c r="Q162" s="14"/>
    </row>
    <row r="163" customFormat="false" ht="25" hidden="false" customHeight="false" outlineLevel="0" collapsed="false">
      <c r="A163" s="10" t="s">
        <v>657</v>
      </c>
      <c r="B163" s="14" t="s">
        <v>658</v>
      </c>
      <c r="C163" s="10" t="s">
        <v>659</v>
      </c>
      <c r="D163" s="14" t="s">
        <v>660</v>
      </c>
      <c r="E163" s="16" t="n">
        <v>0.83</v>
      </c>
      <c r="F163" s="14" t="str">
        <f aca="false">IF(E163&gt;=0.8,"A",IF(E163&gt;=0.6,"B",IF(E163&gt;=0.4,"C",IF(E163&gt;=0.2,"D","E"))))</f>
        <v>A</v>
      </c>
      <c r="G163" s="13" t="n">
        <f aca="false">Dashboard!$B$3</f>
        <v>1</v>
      </c>
      <c r="H163" s="13" t="n">
        <f aca="false">MAX(Dashboard!$B$4,G163*E163)</f>
        <v>0.83</v>
      </c>
      <c r="I163" s="13" t="n">
        <v>1</v>
      </c>
      <c r="J163" s="13" t="n">
        <v>0.8</v>
      </c>
      <c r="K163" s="13" t="n">
        <f aca="false">H163*I163*J163</f>
        <v>0.664</v>
      </c>
      <c r="L163" s="14" t="s">
        <v>661</v>
      </c>
      <c r="M163" s="13" t="n">
        <f aca="false">IF(L163="TRY_TIERS",IF(K163&lt;25,19,IF(K163&lt;35,29,IF(K163&lt;45,39,IF(K163&lt;60,49,79)))),
IF(L163="INR_TIERS",IF(K163&lt;40,29,IF(K163&lt;70,49,99)),
IF(L163="BRL_90",IF(K163&lt;3,2.9,IF(K163&lt;6,4.9,IF(K163&lt;10,6.9,9.9))),
IF(L163="IDR_000",ROUND(K163/1000,0)*1000,
IF(L163="JPY_00",ROUND(K163/100,0)*100,
IF(L163="KRW_000",ROUND(K163/1000,0)*1000,
IF(L163="VND_000",ROUND(K163/1000,0)*1000,
IF(OR(L163="USD_99",L163="EUR_99",L163="GBP_99",L163="CAD_99",L163="AUD_99",L163="PLN_99"),MAX(0.49,ROUND(K163,0)-0.01),
IF(L163="MXN_00",ROUND(K163,0),IF(L163="THB_00",ROUND(K163,0),ROUND(K163,2)))))))))))</f>
        <v>0.99</v>
      </c>
      <c r="N163" s="13" t="n">
        <f aca="false">M163/J163</f>
        <v>1.2375</v>
      </c>
      <c r="O163" s="14" t="str">
        <f aca="false">IF(N163&lt;Dashboard!$B$4,"Below global min",IF(AND(E163&gt;=0.8,N163&lt;Dashboard!$B$5),"Raise high-PPP floor","OK"))</f>
        <v>Raise high-PPP floor</v>
      </c>
      <c r="P163" s="15" t="s">
        <v>662</v>
      </c>
      <c r="Q163" s="14"/>
    </row>
    <row r="164" customFormat="false" ht="25" hidden="false" customHeight="false" outlineLevel="0" collapsed="false">
      <c r="A164" s="10" t="s">
        <v>663</v>
      </c>
      <c r="B164" s="14" t="s">
        <v>664</v>
      </c>
      <c r="C164" s="10" t="s">
        <v>665</v>
      </c>
      <c r="D164" s="14" t="s">
        <v>226</v>
      </c>
      <c r="E164" s="16" t="n">
        <v>1</v>
      </c>
      <c r="F164" s="14" t="str">
        <f aca="false">IF(E164&gt;=0.8,"A",IF(E164&gt;=0.6,"B",IF(E164&gt;=0.4,"C",IF(E164&gt;=0.2,"D","E"))))</f>
        <v>A</v>
      </c>
      <c r="G164" s="13" t="n">
        <f aca="false">Dashboard!$B$3</f>
        <v>1</v>
      </c>
      <c r="H164" s="13" t="n">
        <f aca="false">MAX(Dashboard!$B$4,G164*E164)</f>
        <v>1</v>
      </c>
      <c r="I164" s="13" t="n">
        <v>1</v>
      </c>
      <c r="J164" s="13" t="n">
        <v>1</v>
      </c>
      <c r="K164" s="13" t="n">
        <f aca="false">H164*I164*J164</f>
        <v>1</v>
      </c>
      <c r="L164" s="14" t="s">
        <v>666</v>
      </c>
      <c r="M164" s="13" t="n">
        <f aca="false">IF(L164="TRY_TIERS",IF(K164&lt;25,19,IF(K164&lt;35,29,IF(K164&lt;45,39,IF(K164&lt;60,49,79)))),
IF(L164="INR_TIERS",IF(K164&lt;40,29,IF(K164&lt;70,49,99)),
IF(L164="BRL_90",IF(K164&lt;3,2.9,IF(K164&lt;6,4.9,IF(K164&lt;10,6.9,9.9))),
IF(L164="IDR_000",ROUND(K164/1000,0)*1000,
IF(L164="JPY_00",ROUND(K164/100,0)*100,
IF(L164="KRW_000",ROUND(K164/1000,0)*1000,
IF(L164="VND_000",ROUND(K164/1000,0)*1000,
IF(OR(L164="USD_99",L164="EUR_99",L164="GBP_99",L164="CAD_99",L164="AUD_99",L164="PLN_99"),MAX(0.49,ROUND(K164,0)-0.01),
IF(L164="MXN_00",ROUND(K164,0),IF(L164="THB_00",ROUND(K164,0),ROUND(K164,2)))))))))))</f>
        <v>0.99</v>
      </c>
      <c r="N164" s="13" t="n">
        <f aca="false">M164/J164</f>
        <v>0.99</v>
      </c>
      <c r="O164" s="14" t="str">
        <f aca="false">IF(N164&lt;Dashboard!$B$4,"Below global min",IF(AND(E164&gt;=0.8,N164&lt;Dashboard!$B$5),"Raise high-PPP floor","OK"))</f>
        <v>Raise high-PPP floor</v>
      </c>
      <c r="P164" s="15" t="s">
        <v>667</v>
      </c>
      <c r="Q164" s="14" t="s">
        <v>668</v>
      </c>
    </row>
    <row r="165" customFormat="false" ht="15" hidden="false" customHeight="false" outlineLevel="0" collapsed="false">
      <c r="A165" s="10" t="s">
        <v>669</v>
      </c>
      <c r="B165" s="11" t="s">
        <v>669</v>
      </c>
      <c r="C165" s="10" t="s">
        <v>670</v>
      </c>
      <c r="D165" s="10" t="s">
        <v>671</v>
      </c>
      <c r="E165" s="10" t="n">
        <v>0.65</v>
      </c>
      <c r="F165" s="10" t="s">
        <v>26</v>
      </c>
      <c r="G165" s="13" t="n">
        <f aca="false">Dashboard!$B$3</f>
        <v>1</v>
      </c>
      <c r="H165" s="13" t="n">
        <f aca="false">MAX(Dashboard!$B$4,G165*E165)</f>
        <v>0.65</v>
      </c>
      <c r="I165" s="13" t="n">
        <v>1</v>
      </c>
      <c r="J165" s="13"/>
      <c r="K165" s="13"/>
      <c r="L165" s="14"/>
      <c r="M165" s="13"/>
      <c r="N165" s="13"/>
      <c r="O165" s="14"/>
      <c r="P165" s="15"/>
      <c r="Q165" s="14"/>
    </row>
    <row r="166" customFormat="false" ht="15" hidden="false" customHeight="false" outlineLevel="0" collapsed="false">
      <c r="A166" s="10" t="s">
        <v>672</v>
      </c>
      <c r="B166" s="17" t="s">
        <v>673</v>
      </c>
      <c r="C166" s="10" t="s">
        <v>674</v>
      </c>
      <c r="D166" s="10" t="s">
        <v>675</v>
      </c>
      <c r="E166" s="10" t="n">
        <v>0.25</v>
      </c>
      <c r="F166" s="10" t="s">
        <v>57</v>
      </c>
      <c r="G166" s="13" t="n">
        <f aca="false">Dashboard!$B$3</f>
        <v>1</v>
      </c>
      <c r="H166" s="13" t="n">
        <f aca="false">MAX(Dashboard!$B$4,G166*E166)</f>
        <v>0.49</v>
      </c>
      <c r="I166" s="13" t="n">
        <v>1</v>
      </c>
      <c r="J166" s="13"/>
      <c r="K166" s="13"/>
      <c r="L166" s="14"/>
      <c r="M166" s="13"/>
      <c r="N166" s="13"/>
      <c r="O166" s="14"/>
      <c r="P166" s="15"/>
      <c r="Q166" s="14"/>
    </row>
    <row r="167" customFormat="false" ht="15" hidden="false" customHeight="false" outlineLevel="0" collapsed="false">
      <c r="A167" s="10" t="s">
        <v>676</v>
      </c>
      <c r="B167" s="17" t="s">
        <v>677</v>
      </c>
      <c r="C167" s="10" t="s">
        <v>678</v>
      </c>
      <c r="D167" s="10" t="s">
        <v>679</v>
      </c>
      <c r="E167" s="10" t="n">
        <v>0.25</v>
      </c>
      <c r="F167" s="10" t="s">
        <v>57</v>
      </c>
      <c r="G167" s="13" t="n">
        <f aca="false">Dashboard!$B$3</f>
        <v>1</v>
      </c>
      <c r="H167" s="13" t="n">
        <f aca="false">MAX(Dashboard!$B$4,G167*E167)</f>
        <v>0.49</v>
      </c>
      <c r="I167" s="13" t="n">
        <v>1</v>
      </c>
      <c r="J167" s="13"/>
      <c r="K167" s="13"/>
      <c r="L167" s="14"/>
      <c r="M167" s="13"/>
      <c r="N167" s="13"/>
      <c r="O167" s="14"/>
      <c r="P167" s="15"/>
      <c r="Q167" s="14"/>
    </row>
    <row r="168" customFormat="false" ht="15" hidden="false" customHeight="false" outlineLevel="0" collapsed="false">
      <c r="A168" s="10" t="s">
        <v>680</v>
      </c>
      <c r="B168" s="11" t="s">
        <v>681</v>
      </c>
      <c r="C168" s="10" t="s">
        <v>682</v>
      </c>
      <c r="D168" s="10" t="s">
        <v>91</v>
      </c>
      <c r="E168" s="10" t="n">
        <v>1</v>
      </c>
      <c r="F168" s="10" t="s">
        <v>22</v>
      </c>
      <c r="G168" s="13" t="n">
        <f aca="false">Dashboard!$B$3</f>
        <v>1</v>
      </c>
      <c r="H168" s="13" t="n">
        <f aca="false">MAX(Dashboard!$B$4,G168*E168)</f>
        <v>1</v>
      </c>
      <c r="I168" s="13" t="n">
        <v>1</v>
      </c>
      <c r="J168" s="13"/>
      <c r="K168" s="13"/>
      <c r="L168" s="14"/>
      <c r="M168" s="13"/>
      <c r="N168" s="13"/>
      <c r="O168" s="14"/>
      <c r="P168" s="15"/>
      <c r="Q168" s="14"/>
    </row>
    <row r="169" customFormat="false" ht="15" hidden="false" customHeight="false" outlineLevel="0" collapsed="false">
      <c r="A169" s="10" t="s">
        <v>683</v>
      </c>
      <c r="B169" s="17" t="s">
        <v>684</v>
      </c>
      <c r="C169" s="10" t="s">
        <v>685</v>
      </c>
      <c r="D169" s="10" t="s">
        <v>686</v>
      </c>
      <c r="E169" s="10" t="n">
        <v>0.25</v>
      </c>
      <c r="F169" s="10" t="s">
        <v>66</v>
      </c>
      <c r="G169" s="13" t="n">
        <f aca="false">Dashboard!$B$3</f>
        <v>1</v>
      </c>
      <c r="H169" s="13" t="n">
        <f aca="false">MAX(Dashboard!$B$4,G169*E169)</f>
        <v>0.49</v>
      </c>
      <c r="I169" s="13" t="n">
        <v>1</v>
      </c>
      <c r="J169" s="13"/>
      <c r="K169" s="13"/>
      <c r="L169" s="14"/>
      <c r="M169" s="13"/>
      <c r="N169" s="13"/>
      <c r="O169" s="14"/>
      <c r="P169" s="15"/>
      <c r="Q169" s="14"/>
    </row>
    <row r="170" customFormat="false" ht="25" hidden="false" customHeight="false" outlineLevel="0" collapsed="false">
      <c r="A170" s="10" t="s">
        <v>687</v>
      </c>
      <c r="B170" s="14" t="s">
        <v>687</v>
      </c>
      <c r="C170" s="10" t="s">
        <v>688</v>
      </c>
      <c r="D170" s="14" t="s">
        <v>689</v>
      </c>
      <c r="E170" s="16" t="n">
        <v>0.18</v>
      </c>
      <c r="F170" s="14" t="str">
        <f aca="false">IF(E170&gt;=0.8,"A",IF(E170&gt;=0.6,"B",IF(E170&gt;=0.4,"C",IF(E170&gt;=0.2,"D","E"))))</f>
        <v>E</v>
      </c>
      <c r="G170" s="13" t="n">
        <f aca="false">Dashboard!$B$3</f>
        <v>1</v>
      </c>
      <c r="H170" s="13" t="n">
        <f aca="false">MAX(Dashboard!$B$4,G170*E170)</f>
        <v>0.49</v>
      </c>
      <c r="I170" s="18" t="n">
        <v>0.75</v>
      </c>
      <c r="J170" s="13" t="n">
        <v>24500</v>
      </c>
      <c r="K170" s="13" t="n">
        <f aca="false">H170*I170*J170</f>
        <v>9003.75</v>
      </c>
      <c r="L170" s="14" t="s">
        <v>690</v>
      </c>
      <c r="M170" s="13" t="n">
        <f aca="false">IF(L170="TRY_TIERS",IF(K170&lt;25,19,IF(K170&lt;35,29,IF(K170&lt;45,39,IF(K170&lt;60,49,79)))),
IF(L170="INR_TIERS",IF(K170&lt;40,29,IF(K170&lt;70,49,99)),
IF(L170="BRL_90",IF(K170&lt;3,2.9,IF(K170&lt;6,4.9,IF(K170&lt;10,6.9,9.9))),
IF(L170="IDR_000",ROUND(K170/1000,0)*1000,
IF(L170="JPY_00",ROUND(K170/100,0)*100,
IF(L170="KRW_000",ROUND(K170/1000,0)*1000,
IF(L170="VND_000",ROUND(K170/1000,0)*1000,
IF(OR(L170="USD_99",L170="EUR_99",L170="GBP_99",L170="CAD_99",L170="AUD_99",L170="PLN_99"),MAX(0.49,ROUND(K170,0)-0.01),
IF(L170="MXN_00",ROUND(K170,0),IF(L170="THB_00",ROUND(K170,0),ROUND(K170,2)))))))))))</f>
        <v>9000</v>
      </c>
      <c r="N170" s="13" t="n">
        <f aca="false">M170/J170</f>
        <v>0.36734693877551</v>
      </c>
      <c r="O170" s="14" t="str">
        <f aca="false">IF(N170&lt;Dashboard!$B$4,"Below global min",IF(AND(E170&gt;=0.8,N170&lt;Dashboard!$B$5),"Raise high-PPP floor","OK"))</f>
        <v>Below global min</v>
      </c>
      <c r="P170" s="15" t="s">
        <v>691</v>
      </c>
      <c r="Q170" s="14"/>
    </row>
    <row r="171" customFormat="false" ht="15" hidden="false" customHeight="false" outlineLevel="0" collapsed="false">
      <c r="A171" s="10" t="s">
        <v>692</v>
      </c>
      <c r="B171" s="17" t="s">
        <v>693</v>
      </c>
      <c r="C171" s="10" t="s">
        <v>694</v>
      </c>
      <c r="D171" s="10" t="s">
        <v>226</v>
      </c>
      <c r="E171" s="10" t="n">
        <v>0.85</v>
      </c>
      <c r="F171" s="10" t="s">
        <v>22</v>
      </c>
      <c r="G171" s="13" t="n">
        <f aca="false">Dashboard!$B$3</f>
        <v>1</v>
      </c>
      <c r="H171" s="0" t="n">
        <f aca="false">MAX(Dashboard!$B$4,G171*E171)</f>
        <v>0.85</v>
      </c>
      <c r="I171" s="13" t="n">
        <v>1</v>
      </c>
    </row>
    <row r="172" customFormat="false" ht="15" hidden="false" customHeight="false" outlineLevel="0" collapsed="false">
      <c r="A172" s="10" t="s">
        <v>695</v>
      </c>
      <c r="B172" s="11" t="s">
        <v>695</v>
      </c>
      <c r="C172" s="10" t="s">
        <v>696</v>
      </c>
      <c r="D172" s="10" t="s">
        <v>697</v>
      </c>
      <c r="E172" s="10" t="n">
        <v>0.15</v>
      </c>
      <c r="F172" s="10" t="s">
        <v>66</v>
      </c>
      <c r="G172" s="13" t="n">
        <f aca="false">Dashboard!$B$3</f>
        <v>1</v>
      </c>
      <c r="H172" s="0" t="n">
        <f aca="false">MAX(Dashboard!$B$4,G172*E172)</f>
        <v>0.49</v>
      </c>
      <c r="I172" s="13" t="n">
        <v>1</v>
      </c>
    </row>
    <row r="173" customFormat="false" ht="15" hidden="false" customHeight="false" outlineLevel="0" collapsed="false">
      <c r="A173" s="10" t="s">
        <v>698</v>
      </c>
      <c r="B173" s="17" t="s">
        <v>699</v>
      </c>
      <c r="C173" s="10" t="s">
        <v>700</v>
      </c>
      <c r="D173" s="10" t="s">
        <v>701</v>
      </c>
      <c r="E173" s="10" t="n">
        <v>0.2</v>
      </c>
      <c r="F173" s="10" t="s">
        <v>66</v>
      </c>
      <c r="G173" s="13" t="n">
        <f aca="false">Dashboard!$B$3</f>
        <v>1</v>
      </c>
      <c r="H173" s="0" t="n">
        <f aca="false">MAX(Dashboard!$B$4,G173*E173)</f>
        <v>0.49</v>
      </c>
      <c r="I173" s="13" t="n">
        <v>1</v>
      </c>
    </row>
    <row r="174" customFormat="false" ht="15" hidden="false" customHeight="false" outlineLevel="0" collapsed="false">
      <c r="A174" s="10" t="s">
        <v>702</v>
      </c>
      <c r="B174" s="17" t="s">
        <v>703</v>
      </c>
      <c r="C174" s="10" t="s">
        <v>704</v>
      </c>
      <c r="D174" s="10" t="s">
        <v>705</v>
      </c>
      <c r="E174" s="10" t="n">
        <v>0.18</v>
      </c>
      <c r="F174" s="10" t="s">
        <v>66</v>
      </c>
      <c r="G174" s="13" t="n">
        <f aca="false">Dashboard!$B$3</f>
        <v>1</v>
      </c>
      <c r="H174" s="0" t="n">
        <f aca="false">MAX(Dashboard!$B$4,G174*E174)</f>
        <v>0.49</v>
      </c>
      <c r="I174" s="13" t="n">
        <v>1</v>
      </c>
    </row>
  </sheetData>
  <conditionalFormatting sqref="E170 E23 E29 E58 E71:E72 E78 E98 E121 E143 E152 E157 E163:E164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O10:O170">
    <cfRule type="expression" priority="3" aboveAverage="0" equalAverage="0" bottom="0" percent="0" rank="0" text="" dxfId="18">
      <formula>$O10&lt;&gt;"OK"</formula>
    </cfRule>
  </conditionalFormatting>
  <conditionalFormatting sqref="O10:O22">
    <cfRule type="expression" priority="4" aboveAverage="0" equalAverage="0" bottom="0" percent="0" rank="0" text="" dxfId="18">
      <formula>$O10&lt;&gt;"OK"</formula>
    </cfRule>
  </conditionalFormatting>
  <conditionalFormatting sqref="O10:O22">
    <cfRule type="expression" priority="5" aboveAverage="0" equalAverage="0" bottom="0" percent="0" rank="0" text="" dxfId="18">
      <formula>$O10&lt;&gt;"OK"</formula>
    </cfRule>
  </conditionalFormatting>
  <conditionalFormatting sqref="O10:O22">
    <cfRule type="expression" priority="6" aboveAverage="0" equalAverage="0" bottom="0" percent="0" rank="0" text="" dxfId="18">
      <formula>$O10&lt;&gt;"OK"</formula>
    </cfRule>
  </conditionalFormatting>
  <conditionalFormatting sqref="O2:O22">
    <cfRule type="expression" priority="7" aboveAverage="0" equalAverage="0" bottom="0" percent="0" rank="0" text="" dxfId="18">
      <formula>$O2&lt;&gt;"OK"</formula>
    </cfRule>
  </conditionalFormatting>
  <conditionalFormatting sqref="E9">
    <cfRule type="colorScale" priority="8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dataValidations count="1">
    <dataValidation allowBlank="false" errorStyle="stop" operator="between" showDropDown="false" showErrorMessage="false" showInputMessage="false" sqref="L2:L254" type="list">
      <formula1>"USD_99,EUR_99,GBP_99,CAD_99,AUD_99,PLN_99,TRY_TIERS,INR_TIERS,BRL_90,IDR_000,JPY_00,KRW_000,VND_000,MXN_00,THB_00"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1" sqref="58:58 C4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5" min="3" style="0" width="30"/>
    <col collapsed="false" customWidth="true" hidden="false" outlineLevel="0" max="15" min="6" style="0" width="16"/>
  </cols>
  <sheetData>
    <row r="1" customFormat="false" ht="19.7" hidden="false" customHeight="false" outlineLevel="0" collapsed="false">
      <c r="A1" s="19" t="s">
        <v>706</v>
      </c>
      <c r="B1" s="19"/>
      <c r="C1" s="19"/>
      <c r="D1" s="19"/>
      <c r="E1" s="19"/>
    </row>
    <row r="3" customFormat="false" ht="15" hidden="false" customHeight="false" outlineLevel="0" collapsed="false">
      <c r="A3" s="6" t="s">
        <v>707</v>
      </c>
      <c r="B3" s="6" t="s">
        <v>40</v>
      </c>
      <c r="C3" s="6" t="s">
        <v>708</v>
      </c>
      <c r="D3" s="6" t="s">
        <v>709</v>
      </c>
      <c r="E3" s="6" t="s">
        <v>710</v>
      </c>
    </row>
    <row r="4" customFormat="false" ht="15" hidden="false" customHeight="false" outlineLevel="0" collapsed="false">
      <c r="A4" s="14" t="s">
        <v>666</v>
      </c>
      <c r="B4" s="14" t="s">
        <v>226</v>
      </c>
      <c r="C4" s="14" t="s">
        <v>711</v>
      </c>
      <c r="D4" s="14" t="s">
        <v>712</v>
      </c>
      <c r="E4" s="14" t="s">
        <v>713</v>
      </c>
    </row>
    <row r="5" customFormat="false" ht="15" hidden="false" customHeight="false" outlineLevel="0" collapsed="false">
      <c r="A5" s="14" t="s">
        <v>263</v>
      </c>
      <c r="B5" s="14" t="s">
        <v>91</v>
      </c>
      <c r="C5" s="14" t="s">
        <v>711</v>
      </c>
      <c r="D5" s="14" t="s">
        <v>712</v>
      </c>
      <c r="E5" s="14" t="s">
        <v>714</v>
      </c>
    </row>
    <row r="6" customFormat="false" ht="25" hidden="false" customHeight="false" outlineLevel="0" collapsed="false">
      <c r="A6" s="14" t="s">
        <v>636</v>
      </c>
      <c r="B6" s="14" t="s">
        <v>635</v>
      </c>
      <c r="C6" s="14" t="s">
        <v>715</v>
      </c>
      <c r="D6" s="14" t="s">
        <v>716</v>
      </c>
      <c r="E6" s="14" t="s">
        <v>717</v>
      </c>
    </row>
    <row r="7" customFormat="false" ht="15" hidden="false" customHeight="false" outlineLevel="0" collapsed="false">
      <c r="A7" s="14" t="s">
        <v>310</v>
      </c>
      <c r="B7" s="14" t="s">
        <v>309</v>
      </c>
      <c r="C7" s="14" t="s">
        <v>715</v>
      </c>
      <c r="D7" s="14" t="s">
        <v>718</v>
      </c>
      <c r="E7" s="14" t="s">
        <v>312</v>
      </c>
    </row>
    <row r="8" customFormat="false" ht="15" hidden="false" customHeight="false" outlineLevel="0" collapsed="false">
      <c r="A8" s="14" t="s">
        <v>139</v>
      </c>
      <c r="B8" s="14" t="s">
        <v>138</v>
      </c>
      <c r="C8" s="14" t="s">
        <v>719</v>
      </c>
      <c r="D8" s="14" t="s">
        <v>720</v>
      </c>
      <c r="E8" s="14"/>
    </row>
    <row r="9" customFormat="false" ht="15" hidden="false" customHeight="false" outlineLevel="0" collapsed="false">
      <c r="A9" s="14" t="s">
        <v>317</v>
      </c>
      <c r="B9" s="14" t="s">
        <v>316</v>
      </c>
      <c r="C9" s="14" t="s">
        <v>721</v>
      </c>
      <c r="D9" s="14" t="s">
        <v>722</v>
      </c>
      <c r="E9" s="14"/>
    </row>
    <row r="10" customFormat="false" ht="15" hidden="false" customHeight="false" outlineLevel="0" collapsed="false">
      <c r="A10" s="14" t="s">
        <v>341</v>
      </c>
      <c r="B10" s="14" t="s">
        <v>340</v>
      </c>
      <c r="C10" s="14" t="s">
        <v>723</v>
      </c>
      <c r="D10" s="14" t="s">
        <v>724</v>
      </c>
      <c r="E10" s="14"/>
    </row>
    <row r="11" customFormat="false" ht="15" hidden="false" customHeight="false" outlineLevel="0" collapsed="false">
      <c r="A11" s="14" t="s">
        <v>582</v>
      </c>
      <c r="B11" s="14" t="s">
        <v>581</v>
      </c>
      <c r="C11" s="14" t="s">
        <v>721</v>
      </c>
      <c r="D11" s="14" t="s">
        <v>725</v>
      </c>
      <c r="E11" s="14"/>
    </row>
    <row r="12" customFormat="false" ht="15" hidden="false" customHeight="false" outlineLevel="0" collapsed="false">
      <c r="A12" s="14" t="s">
        <v>690</v>
      </c>
      <c r="B12" s="14" t="s">
        <v>689</v>
      </c>
      <c r="C12" s="14" t="s">
        <v>721</v>
      </c>
      <c r="D12" s="14" t="s">
        <v>726</v>
      </c>
      <c r="E12" s="14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1" sqref="58:58 B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5" min="5" style="0" width="39.58"/>
    <col collapsed="false" customWidth="true" hidden="false" outlineLevel="0" max="15" min="6" style="0" width="16"/>
  </cols>
  <sheetData>
    <row r="1" customFormat="false" ht="19.7" hidden="false" customHeight="false" outlineLevel="0" collapsed="false">
      <c r="A1" s="19" t="s">
        <v>727</v>
      </c>
      <c r="B1" s="19"/>
      <c r="C1" s="19"/>
      <c r="D1" s="19"/>
      <c r="E1" s="19"/>
    </row>
    <row r="3" customFormat="false" ht="15" hidden="false" customHeight="false" outlineLevel="0" collapsed="false">
      <c r="A3" s="6" t="s">
        <v>728</v>
      </c>
      <c r="B3" s="6" t="s">
        <v>729</v>
      </c>
      <c r="C3" s="6" t="s">
        <v>730</v>
      </c>
      <c r="D3" s="6" t="s">
        <v>731</v>
      </c>
      <c r="E3" s="6" t="s">
        <v>9</v>
      </c>
    </row>
    <row r="4" customFormat="false" ht="36.5" hidden="false" customHeight="false" outlineLevel="0" collapsed="false">
      <c r="A4" s="14" t="s">
        <v>732</v>
      </c>
      <c r="B4" s="14" t="s">
        <v>733</v>
      </c>
      <c r="C4" s="14" t="s">
        <v>734</v>
      </c>
      <c r="D4" s="14" t="s">
        <v>735</v>
      </c>
      <c r="E4" s="14" t="s">
        <v>736</v>
      </c>
    </row>
    <row r="5" customFormat="false" ht="36.5" hidden="false" customHeight="false" outlineLevel="0" collapsed="false">
      <c r="A5" s="14" t="s">
        <v>737</v>
      </c>
      <c r="B5" s="14" t="s">
        <v>738</v>
      </c>
      <c r="C5" s="14" t="s">
        <v>739</v>
      </c>
      <c r="D5" s="14" t="s">
        <v>740</v>
      </c>
      <c r="E5" s="14" t="s">
        <v>741</v>
      </c>
    </row>
    <row r="6" customFormat="false" ht="36.5" hidden="false" customHeight="false" outlineLevel="0" collapsed="false">
      <c r="A6" s="14" t="s">
        <v>742</v>
      </c>
      <c r="B6" s="14" t="s">
        <v>743</v>
      </c>
      <c r="C6" s="14" t="s">
        <v>744</v>
      </c>
      <c r="D6" s="14" t="s">
        <v>745</v>
      </c>
      <c r="E6" s="14" t="s">
        <v>746</v>
      </c>
    </row>
    <row r="7" customFormat="false" ht="36.5" hidden="false" customHeight="false" outlineLevel="0" collapsed="false">
      <c r="A7" s="14" t="s">
        <v>747</v>
      </c>
      <c r="B7" s="14" t="s">
        <v>748</v>
      </c>
      <c r="C7" s="14" t="s">
        <v>749</v>
      </c>
      <c r="D7" s="14" t="s">
        <v>750</v>
      </c>
      <c r="E7" s="14" t="s">
        <v>751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58:58 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15" hidden="false" customHeight="false" outlineLevel="0" collapsed="false">
      <c r="A1" s="20" t="s">
        <v>752</v>
      </c>
      <c r="B1" s="20" t="s">
        <v>753</v>
      </c>
      <c r="C1" s="20" t="s">
        <v>38</v>
      </c>
      <c r="D1" s="20" t="s">
        <v>754</v>
      </c>
      <c r="E1" s="20" t="s">
        <v>755</v>
      </c>
      <c r="F1" s="20" t="s">
        <v>40</v>
      </c>
      <c r="G1" s="20" t="s">
        <v>756</v>
      </c>
      <c r="H1" s="20" t="s">
        <v>757</v>
      </c>
      <c r="I1" s="20" t="s">
        <v>758</v>
      </c>
      <c r="J1" s="20" t="s">
        <v>759</v>
      </c>
      <c r="K1" s="20" t="s">
        <v>760</v>
      </c>
      <c r="L1" s="20" t="s">
        <v>761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22" t="n">
        <v>46143</v>
      </c>
      <c r="B2" s="21" t="s">
        <v>762</v>
      </c>
      <c r="C2" s="21" t="s">
        <v>634</v>
      </c>
      <c r="D2" s="21" t="s">
        <v>22</v>
      </c>
      <c r="E2" s="23" t="n">
        <v>39</v>
      </c>
      <c r="F2" s="21" t="s">
        <v>635</v>
      </c>
      <c r="G2" s="24" t="n">
        <v>1200</v>
      </c>
      <c r="H2" s="24" t="n">
        <v>48</v>
      </c>
      <c r="I2" s="25" t="n">
        <f aca="false">IFERROR(H2/G2,0)</f>
        <v>0.04</v>
      </c>
      <c r="J2" s="23" t="n">
        <f aca="false">IFERROR(E2*H2,0)</f>
        <v>1872</v>
      </c>
      <c r="K2" s="23" t="n">
        <f aca="false">IFERROR(J2/G2,0)</f>
        <v>1.56</v>
      </c>
      <c r="L2" s="21" t="str">
        <f aca="false">IF(B2="","",IF(J2=MAX(SUMIFS($J$2:$J$200,$B$2:$B$200,B2,$C$2:$C$200,C2,$D$2:$D$200,"A"),SUMIFS($J$2:$J$200,$B$2:$B$200,B2,$C$2:$C$200,C2,$D$2:$D$200,"B")),"Current Winner",""))</f>
        <v/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" hidden="false" customHeight="false" outlineLevel="0" collapsed="false">
      <c r="A3" s="22" t="n">
        <v>46150</v>
      </c>
      <c r="B3" s="21" t="s">
        <v>762</v>
      </c>
      <c r="C3" s="21" t="s">
        <v>634</v>
      </c>
      <c r="D3" s="21" t="s">
        <v>26</v>
      </c>
      <c r="E3" s="23" t="n">
        <v>29</v>
      </c>
      <c r="F3" s="21" t="s">
        <v>635</v>
      </c>
      <c r="G3" s="24" t="n">
        <v>1350</v>
      </c>
      <c r="H3" s="24" t="n">
        <v>78</v>
      </c>
      <c r="I3" s="25" t="n">
        <f aca="false">IFERROR(H3/G3,0)</f>
        <v>0.0577777777777778</v>
      </c>
      <c r="J3" s="23" t="n">
        <f aca="false">IFERROR(E3*H3,0)</f>
        <v>2262</v>
      </c>
      <c r="K3" s="23" t="n">
        <f aca="false">IFERROR(J3/G3,0)</f>
        <v>1.67555555555556</v>
      </c>
      <c r="L3" s="21" t="str">
        <f aca="false">IF(B3="","",IF(J3=MAX(SUMIFS($J$2:$J$200,$B$2:$B$200,B3,$C$2:$C$200,C3,$D$2:$D$200,"A"),SUMIFS($J$2:$J$200,$B$2:$B$200,B3,$C$2:$C$200,C3,$D$2:$D$200,"B")),"Current Winner",""))</f>
        <v>Current Winner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" hidden="false" customHeight="false" outlineLevel="0" collapsed="false">
      <c r="A4" s="22" t="n">
        <v>46143</v>
      </c>
      <c r="B4" s="21" t="s">
        <v>763</v>
      </c>
      <c r="C4" s="21" t="s">
        <v>634</v>
      </c>
      <c r="D4" s="21" t="s">
        <v>22</v>
      </c>
      <c r="E4" s="23" t="n">
        <v>49</v>
      </c>
      <c r="F4" s="21" t="s">
        <v>635</v>
      </c>
      <c r="G4" s="24" t="n">
        <v>900</v>
      </c>
      <c r="H4" s="24" t="n">
        <v>32</v>
      </c>
      <c r="I4" s="25" t="n">
        <f aca="false">IFERROR(H4/G4,0)</f>
        <v>0.0355555555555556</v>
      </c>
      <c r="J4" s="23" t="n">
        <f aca="false">IFERROR(E4*H4,0)</f>
        <v>1568</v>
      </c>
      <c r="K4" s="23" t="n">
        <f aca="false">IFERROR(J4/G4,0)</f>
        <v>1.74222222222222</v>
      </c>
      <c r="L4" s="21" t="str">
        <f aca="false">IF(B4="","",IF(J4=MAX(SUMIFS($J$2:$J$200,$B$2:$B$200,B4,$C$2:$C$200,C4,$D$2:$D$200,"A"),SUMIFS($J$2:$J$200,$B$2:$B$200,B4,$C$2:$C$200,C4,$D$2:$D$200,"B")),"Current Winner",""))</f>
        <v/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" hidden="false" customHeight="false" outlineLevel="0" collapsed="false">
      <c r="A5" s="22" t="n">
        <v>46150</v>
      </c>
      <c r="B5" s="21" t="s">
        <v>763</v>
      </c>
      <c r="C5" s="21" t="s">
        <v>634</v>
      </c>
      <c r="D5" s="21" t="s">
        <v>26</v>
      </c>
      <c r="E5" s="23" t="n">
        <v>39</v>
      </c>
      <c r="F5" s="21" t="s">
        <v>635</v>
      </c>
      <c r="G5" s="24" t="n">
        <v>960</v>
      </c>
      <c r="H5" s="24" t="n">
        <v>45</v>
      </c>
      <c r="I5" s="25" t="n">
        <f aca="false">IFERROR(H5/G5,0)</f>
        <v>0.046875</v>
      </c>
      <c r="J5" s="23" t="n">
        <f aca="false">IFERROR(E5*H5,0)</f>
        <v>1755</v>
      </c>
      <c r="K5" s="23" t="n">
        <f aca="false">IFERROR(J5/G5,0)</f>
        <v>1.828125</v>
      </c>
      <c r="L5" s="21" t="str">
        <f aca="false">IF(B5="","",IF(J5=MAX(SUMIFS($J$2:$J$200,$B$2:$B$200,B5,$C$2:$C$200,C5,$D$2:$D$200,"A"),SUMIFS($J$2:$J$200,$B$2:$B$200,B5,$C$2:$C$200,C5,$D$2:$D$200,"B")),"Current Winner",""))</f>
        <v>Current Winner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" hidden="false" customHeight="false" outlineLevel="0" collapsed="false">
      <c r="A6" s="22" t="n">
        <v>46143</v>
      </c>
      <c r="B6" s="21" t="s">
        <v>762</v>
      </c>
      <c r="C6" s="21" t="s">
        <v>308</v>
      </c>
      <c r="D6" s="21" t="s">
        <v>22</v>
      </c>
      <c r="E6" s="23" t="n">
        <v>49</v>
      </c>
      <c r="F6" s="21" t="s">
        <v>309</v>
      </c>
      <c r="G6" s="24" t="n">
        <v>2400</v>
      </c>
      <c r="H6" s="24" t="n">
        <v>96</v>
      </c>
      <c r="I6" s="25" t="n">
        <f aca="false">IFERROR(H6/G6,0)</f>
        <v>0.04</v>
      </c>
      <c r="J6" s="23" t="n">
        <f aca="false">IFERROR(E6*H6,0)</f>
        <v>4704</v>
      </c>
      <c r="K6" s="23" t="n">
        <f aca="false">IFERROR(J6/G6,0)</f>
        <v>1.96</v>
      </c>
      <c r="L6" s="21" t="str">
        <f aca="false">IF(B6="","",IF(J6=MAX(SUMIFS($J$2:$J$200,$B$2:$B$200,B6,$C$2:$C$200,C6,$D$2:$D$200,"A"),SUMIFS($J$2:$J$200,$B$2:$B$200,B6,$C$2:$C$200,C6,$D$2:$D$200,"B")),"Current Winner",""))</f>
        <v/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" hidden="false" customHeight="false" outlineLevel="0" collapsed="false">
      <c r="A7" s="22" t="n">
        <v>46150</v>
      </c>
      <c r="B7" s="21" t="s">
        <v>762</v>
      </c>
      <c r="C7" s="21" t="s">
        <v>308</v>
      </c>
      <c r="D7" s="21" t="s">
        <v>26</v>
      </c>
      <c r="E7" s="23" t="n">
        <v>29</v>
      </c>
      <c r="F7" s="21" t="s">
        <v>309</v>
      </c>
      <c r="G7" s="24" t="n">
        <v>2700</v>
      </c>
      <c r="H7" s="24" t="n">
        <v>168</v>
      </c>
      <c r="I7" s="25" t="n">
        <f aca="false">IFERROR(H7/G7,0)</f>
        <v>0.0622222222222222</v>
      </c>
      <c r="J7" s="23" t="n">
        <f aca="false">IFERROR(E7*H7,0)</f>
        <v>4872</v>
      </c>
      <c r="K7" s="23" t="n">
        <f aca="false">IFERROR(J7/G7,0)</f>
        <v>1.80444444444444</v>
      </c>
      <c r="L7" s="21" t="str">
        <f aca="false">IF(B7="","",IF(J7=MAX(SUMIFS($J$2:$J$200,$B$2:$B$200,B7,$C$2:$C$200,C7,$D$2:$D$200,"A"),SUMIFS($J$2:$J$200,$B$2:$B$200,B7,$C$2:$C$200,C7,$D$2:$D$200,"B")),"Current Winner",""))</f>
        <v>Current Winner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" hidden="false" customHeight="false" outlineLevel="0" collapsed="false">
      <c r="A8" s="22" t="n">
        <v>46143</v>
      </c>
      <c r="B8" s="21" t="s">
        <v>763</v>
      </c>
      <c r="C8" s="21" t="s">
        <v>137</v>
      </c>
      <c r="D8" s="21" t="s">
        <v>22</v>
      </c>
      <c r="E8" s="23" t="n">
        <v>6.9</v>
      </c>
      <c r="F8" s="21" t="s">
        <v>138</v>
      </c>
      <c r="G8" s="24" t="n">
        <v>760</v>
      </c>
      <c r="H8" s="24" t="n">
        <v>20</v>
      </c>
      <c r="I8" s="25" t="n">
        <f aca="false">IFERROR(H8/G8,0)</f>
        <v>0.0263157894736842</v>
      </c>
      <c r="J8" s="23" t="n">
        <f aca="false">IFERROR(E8*H8,0)</f>
        <v>138</v>
      </c>
      <c r="K8" s="23" t="n">
        <f aca="false">IFERROR(J8/G8,0)</f>
        <v>0.181578947368421</v>
      </c>
      <c r="L8" s="21" t="str">
        <f aca="false">IF(B8="","",IF(J8=MAX(SUMIFS($J$2:$J$200,$B$2:$B$200,B8,$C$2:$C$200,C8,$D$2:$D$200,"A"),SUMIFS($J$2:$J$200,$B$2:$B$200,B8,$C$2:$C$200,C8,$D$2:$D$200,"B")),"Current Winner",""))</f>
        <v/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" hidden="false" customHeight="false" outlineLevel="0" collapsed="false">
      <c r="A9" s="22" t="n">
        <v>46150</v>
      </c>
      <c r="B9" s="21" t="s">
        <v>763</v>
      </c>
      <c r="C9" s="21" t="s">
        <v>137</v>
      </c>
      <c r="D9" s="21" t="s">
        <v>26</v>
      </c>
      <c r="E9" s="23" t="n">
        <v>4.9</v>
      </c>
      <c r="F9" s="21" t="s">
        <v>138</v>
      </c>
      <c r="G9" s="24" t="n">
        <v>830</v>
      </c>
      <c r="H9" s="24" t="n">
        <v>32</v>
      </c>
      <c r="I9" s="25" t="n">
        <f aca="false">IFERROR(H9/G9,0)</f>
        <v>0.0385542168674699</v>
      </c>
      <c r="J9" s="23" t="n">
        <f aca="false">IFERROR(E9*H9,0)</f>
        <v>156.8</v>
      </c>
      <c r="K9" s="23" t="n">
        <f aca="false">IFERROR(J9/G9,0)</f>
        <v>0.188915662650602</v>
      </c>
      <c r="L9" s="21" t="str">
        <f aca="false">IF(B9="","",IF(J9=MAX(SUMIFS($J$2:$J$200,$B$2:$B$200,B9,$C$2:$C$200,C9,$D$2:$D$200,"A"),SUMIFS($J$2:$J$200,$B$2:$B$200,B9,$C$2:$C$200,C9,$D$2:$D$200,"B")),"Current Winner",""))</f>
        <v>Current Winner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" hidden="false" customHeight="false" outlineLevel="0" collapsed="false">
      <c r="A10" s="22"/>
      <c r="B10" s="21"/>
      <c r="C10" s="21"/>
      <c r="D10" s="21"/>
      <c r="E10" s="23"/>
      <c r="F10" s="21"/>
      <c r="G10" s="24"/>
      <c r="H10" s="24"/>
      <c r="I10" s="25" t="n">
        <f aca="false">IFERROR(H10/G10,0)</f>
        <v>0</v>
      </c>
      <c r="J10" s="23" t="n">
        <f aca="false">IFERROR(E10*H10,0)</f>
        <v>0</v>
      </c>
      <c r="K10" s="23" t="n">
        <f aca="false">IFERROR(J10/G10,0)</f>
        <v>0</v>
      </c>
      <c r="L10" s="21" t="str">
        <f aca="false">IF(B10="","",IF(J10=MAX(SUMIFS($J$2:$J$200,$B$2:$B$200,B10,$C$2:$C$200,C10,$D$2:$D$200,"A"),SUMIFS($J$2:$J$200,$B$2:$B$200,B10,$C$2:$C$200,C10,$D$2:$D$200,"B")),"Current Winner",""))</f>
        <v/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" hidden="false" customHeight="false" outlineLevel="0" collapsed="false">
      <c r="A11" s="22"/>
      <c r="B11" s="21"/>
      <c r="C11" s="21"/>
      <c r="D11" s="21"/>
      <c r="E11" s="23"/>
      <c r="F11" s="21"/>
      <c r="G11" s="24"/>
      <c r="H11" s="24"/>
      <c r="I11" s="25" t="n">
        <f aca="false">IFERROR(H11/G11,0)</f>
        <v>0</v>
      </c>
      <c r="J11" s="23" t="n">
        <f aca="false">IFERROR(E11*H11,0)</f>
        <v>0</v>
      </c>
      <c r="K11" s="23" t="n">
        <f aca="false">IFERROR(J11/G11,0)</f>
        <v>0</v>
      </c>
      <c r="L11" s="21" t="str">
        <f aca="false">IF(B11="","",IF(J11=MAX(SUMIFS($J$2:$J$200,$B$2:$B$200,B11,$C$2:$C$200,C11,$D$2:$D$200,"A"),SUMIFS($J$2:$J$200,$B$2:$B$200,B11,$C$2:$C$200,C11,$D$2:$D$200,"B")),"Current Winner",""))</f>
        <v/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" hidden="false" customHeight="false" outlineLevel="0" collapsed="false">
      <c r="A12" s="22"/>
      <c r="B12" s="21"/>
      <c r="C12" s="21"/>
      <c r="D12" s="21"/>
      <c r="E12" s="23"/>
      <c r="F12" s="21"/>
      <c r="G12" s="24"/>
      <c r="H12" s="24"/>
      <c r="I12" s="25" t="n">
        <f aca="false">IFERROR(H12/G12,0)</f>
        <v>0</v>
      </c>
      <c r="J12" s="23" t="n">
        <f aca="false">IFERROR(E12*H12,0)</f>
        <v>0</v>
      </c>
      <c r="K12" s="23" t="n">
        <f aca="false">IFERROR(J12/G12,0)</f>
        <v>0</v>
      </c>
      <c r="L12" s="21" t="str">
        <f aca="false">IF(B12="","",IF(J12=MAX(SUMIFS($J$2:$J$200,$B$2:$B$200,B12,$C$2:$C$200,C12,$D$2:$D$200,"A"),SUMIFS($J$2:$J$200,$B$2:$B$200,B12,$C$2:$C$200,C12,$D$2:$D$200,"B")),"Current Winner",""))</f>
        <v/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" hidden="false" customHeight="false" outlineLevel="0" collapsed="false">
      <c r="A13" s="22"/>
      <c r="B13" s="21"/>
      <c r="C13" s="21"/>
      <c r="D13" s="21"/>
      <c r="E13" s="23"/>
      <c r="F13" s="21"/>
      <c r="G13" s="24"/>
      <c r="H13" s="24"/>
      <c r="I13" s="25" t="n">
        <f aca="false">IFERROR(H13/G13,0)</f>
        <v>0</v>
      </c>
      <c r="J13" s="23" t="n">
        <f aca="false">IFERROR(E13*H13,0)</f>
        <v>0</v>
      </c>
      <c r="K13" s="23" t="n">
        <f aca="false">IFERROR(J13/G13,0)</f>
        <v>0</v>
      </c>
      <c r="L13" s="21" t="str">
        <f aca="false">IF(B13="","",IF(J13=MAX(SUMIFS($J$2:$J$200,$B$2:$B$200,B13,$C$2:$C$200,C13,$D$2:$D$200,"A"),SUMIFS($J$2:$J$200,$B$2:$B$200,B13,$C$2:$C$200,C13,$D$2:$D$200,"B")),"Current Winner",""))</f>
        <v/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" hidden="false" customHeight="false" outlineLevel="0" collapsed="false">
      <c r="A14" s="22"/>
      <c r="B14" s="21"/>
      <c r="C14" s="21"/>
      <c r="D14" s="21"/>
      <c r="E14" s="23"/>
      <c r="F14" s="21"/>
      <c r="G14" s="24"/>
      <c r="H14" s="24"/>
      <c r="I14" s="25" t="n">
        <f aca="false">IFERROR(H14/G14,0)</f>
        <v>0</v>
      </c>
      <c r="J14" s="23" t="n">
        <f aca="false">IFERROR(E14*H14,0)</f>
        <v>0</v>
      </c>
      <c r="K14" s="23" t="n">
        <f aca="false">IFERROR(J14/G14,0)</f>
        <v>0</v>
      </c>
      <c r="L14" s="21" t="str">
        <f aca="false">IF(B14="","",IF(J14=MAX(SUMIFS($J$2:$J$200,$B$2:$B$200,B14,$C$2:$C$200,C14,$D$2:$D$200,"A"),SUMIFS($J$2:$J$200,$B$2:$B$200,B14,$C$2:$C$200,C14,$D$2:$D$200,"B")),"Current Winner",""))</f>
        <v/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" hidden="false" customHeight="false" outlineLevel="0" collapsed="false">
      <c r="A15" s="22"/>
      <c r="B15" s="21"/>
      <c r="C15" s="21"/>
      <c r="D15" s="21"/>
      <c r="E15" s="23"/>
      <c r="F15" s="21"/>
      <c r="G15" s="24"/>
      <c r="H15" s="24"/>
      <c r="I15" s="25" t="n">
        <f aca="false">IFERROR(H15/G15,0)</f>
        <v>0</v>
      </c>
      <c r="J15" s="23" t="n">
        <f aca="false">IFERROR(E15*H15,0)</f>
        <v>0</v>
      </c>
      <c r="K15" s="23" t="n">
        <f aca="false">IFERROR(J15/G15,0)</f>
        <v>0</v>
      </c>
      <c r="L15" s="21" t="str">
        <f aca="false">IF(B15="","",IF(J15=MAX(SUMIFS($J$2:$J$200,$B$2:$B$200,B15,$C$2:$C$200,C15,$D$2:$D$200,"A"),SUMIFS($J$2:$J$200,$B$2:$B$200,B15,$C$2:$C$200,C15,$D$2:$D$200,"B")),"Current Winner",""))</f>
        <v/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" hidden="false" customHeight="false" outlineLevel="0" collapsed="false">
      <c r="A16" s="22"/>
      <c r="B16" s="21"/>
      <c r="C16" s="21"/>
      <c r="D16" s="21"/>
      <c r="E16" s="23"/>
      <c r="F16" s="21"/>
      <c r="G16" s="24"/>
      <c r="H16" s="24"/>
      <c r="I16" s="25" t="n">
        <f aca="false">IFERROR(H16/G16,0)</f>
        <v>0</v>
      </c>
      <c r="J16" s="23" t="n">
        <f aca="false">IFERROR(E16*H16,0)</f>
        <v>0</v>
      </c>
      <c r="K16" s="23" t="n">
        <f aca="false">IFERROR(J16/G16,0)</f>
        <v>0</v>
      </c>
      <c r="L16" s="21" t="str">
        <f aca="false">IF(B16="","",IF(J16=MAX(SUMIFS($J$2:$J$200,$B$2:$B$200,B16,$C$2:$C$200,C16,$D$2:$D$200,"A"),SUMIFS($J$2:$J$200,$B$2:$B$200,B16,$C$2:$C$200,C16,$D$2:$D$200,"B")),"Current Winner",""))</f>
        <v/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" hidden="false" customHeight="false" outlineLevel="0" collapsed="false">
      <c r="A17" s="22"/>
      <c r="B17" s="21"/>
      <c r="C17" s="21"/>
      <c r="D17" s="21"/>
      <c r="E17" s="23"/>
      <c r="F17" s="21"/>
      <c r="G17" s="24"/>
      <c r="H17" s="24"/>
      <c r="I17" s="25" t="n">
        <f aca="false">IFERROR(H17/G17,0)</f>
        <v>0</v>
      </c>
      <c r="J17" s="23" t="n">
        <f aca="false">IFERROR(E17*H17,0)</f>
        <v>0</v>
      </c>
      <c r="K17" s="23" t="n">
        <f aca="false">IFERROR(J17/G17,0)</f>
        <v>0</v>
      </c>
      <c r="L17" s="21" t="str">
        <f aca="false">IF(B17="","",IF(J17=MAX(SUMIFS($J$2:$J$200,$B$2:$B$200,B17,$C$2:$C$200,C17,$D$2:$D$200,"A"),SUMIFS($J$2:$J$200,$B$2:$B$200,B17,$C$2:$C$200,C17,$D$2:$D$200,"B")),"Current Winner",""))</f>
        <v/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" hidden="false" customHeight="false" outlineLevel="0" collapsed="false">
      <c r="A18" s="22"/>
      <c r="B18" s="21"/>
      <c r="C18" s="21"/>
      <c r="D18" s="21"/>
      <c r="E18" s="23"/>
      <c r="F18" s="21"/>
      <c r="G18" s="24"/>
      <c r="H18" s="24"/>
      <c r="I18" s="25" t="n">
        <f aca="false">IFERROR(H18/G18,0)</f>
        <v>0</v>
      </c>
      <c r="J18" s="23" t="n">
        <f aca="false">IFERROR(E18*H18,0)</f>
        <v>0</v>
      </c>
      <c r="K18" s="23" t="n">
        <f aca="false">IFERROR(J18/G18,0)</f>
        <v>0</v>
      </c>
      <c r="L18" s="21" t="str">
        <f aca="false">IF(B18="","",IF(J18=MAX(SUMIFS($J$2:$J$200,$B$2:$B$200,B18,$C$2:$C$200,C18,$D$2:$D$200,"A"),SUMIFS($J$2:$J$200,$B$2:$B$200,B18,$C$2:$C$200,C18,$D$2:$D$200,"B")),"Current Winner",""))</f>
        <v/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" hidden="false" customHeight="false" outlineLevel="0" collapsed="false">
      <c r="A19" s="22"/>
      <c r="B19" s="21"/>
      <c r="C19" s="21"/>
      <c r="D19" s="21"/>
      <c r="E19" s="23"/>
      <c r="F19" s="21"/>
      <c r="G19" s="24"/>
      <c r="H19" s="24"/>
      <c r="I19" s="25" t="n">
        <f aca="false">IFERROR(H19/G19,0)</f>
        <v>0</v>
      </c>
      <c r="J19" s="23" t="n">
        <f aca="false">IFERROR(E19*H19,0)</f>
        <v>0</v>
      </c>
      <c r="K19" s="23" t="n">
        <f aca="false">IFERROR(J19/G19,0)</f>
        <v>0</v>
      </c>
      <c r="L19" s="21" t="str">
        <f aca="false">IF(B19="","",IF(J19=MAX(SUMIFS($J$2:$J$200,$B$2:$B$200,B19,$C$2:$C$200,C19,$D$2:$D$200,"A"),SUMIFS($J$2:$J$200,$B$2:$B$200,B19,$C$2:$C$200,C19,$D$2:$D$200,"B")),"Current Winner",""))</f>
        <v/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" hidden="false" customHeight="false" outlineLevel="0" collapsed="false">
      <c r="A20" s="22"/>
      <c r="B20" s="21"/>
      <c r="C20" s="21"/>
      <c r="D20" s="21"/>
      <c r="E20" s="23"/>
      <c r="F20" s="21"/>
      <c r="G20" s="24"/>
      <c r="H20" s="24"/>
      <c r="I20" s="25" t="n">
        <f aca="false">IFERROR(H20/G20,0)</f>
        <v>0</v>
      </c>
      <c r="J20" s="23" t="n">
        <f aca="false">IFERROR(E20*H20,0)</f>
        <v>0</v>
      </c>
      <c r="K20" s="23" t="n">
        <f aca="false">IFERROR(J20/G20,0)</f>
        <v>0</v>
      </c>
      <c r="L20" s="21" t="str">
        <f aca="false">IF(B20="","",IF(J20=MAX(SUMIFS($J$2:$J$200,$B$2:$B$200,B20,$C$2:$C$200,C20,$D$2:$D$200,"A"),SUMIFS($J$2:$J$200,$B$2:$B$200,B20,$C$2:$C$200,C20,$D$2:$D$200,"B")),"Current Winner",""))</f>
        <v/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" hidden="false" customHeight="false" outlineLevel="0" collapsed="false">
      <c r="A21" s="22"/>
      <c r="B21" s="21"/>
      <c r="C21" s="21"/>
      <c r="D21" s="21"/>
      <c r="E21" s="23"/>
      <c r="F21" s="21"/>
      <c r="G21" s="24"/>
      <c r="H21" s="24"/>
      <c r="I21" s="25" t="n">
        <f aca="false">IFERROR(H21/G21,0)</f>
        <v>0</v>
      </c>
      <c r="J21" s="23" t="n">
        <f aca="false">IFERROR(E21*H21,0)</f>
        <v>0</v>
      </c>
      <c r="K21" s="23" t="n">
        <f aca="false">IFERROR(J21/G21,0)</f>
        <v>0</v>
      </c>
      <c r="L21" s="21" t="str">
        <f aca="false">IF(B21="","",IF(J21=MAX(SUMIFS($J$2:$J$200,$B$2:$B$200,B21,$C$2:$C$200,C21,$D$2:$D$200,"A"),SUMIFS($J$2:$J$200,$B$2:$B$200,B21,$C$2:$C$200,C21,$D$2:$D$200,"B")),"Current Winner",""))</f>
        <v/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" hidden="false" customHeight="false" outlineLevel="0" collapsed="false">
      <c r="A22" s="22"/>
      <c r="B22" s="21"/>
      <c r="C22" s="21"/>
      <c r="D22" s="21"/>
      <c r="E22" s="23"/>
      <c r="F22" s="21"/>
      <c r="G22" s="24"/>
      <c r="H22" s="24"/>
      <c r="I22" s="25" t="n">
        <f aca="false">IFERROR(H22/G22,0)</f>
        <v>0</v>
      </c>
      <c r="J22" s="23" t="n">
        <f aca="false">IFERROR(E22*H22,0)</f>
        <v>0</v>
      </c>
      <c r="K22" s="23" t="n">
        <f aca="false">IFERROR(J22/G22,0)</f>
        <v>0</v>
      </c>
      <c r="L22" s="21" t="str">
        <f aca="false">IF(B22="","",IF(J22=MAX(SUMIFS($J$2:$J$200,$B$2:$B$200,B22,$C$2:$C$200,C22,$D$2:$D$200,"A"),SUMIFS($J$2:$J$200,$B$2:$B$200,B22,$C$2:$C$200,C22,$D$2:$D$200,"B")),"Current Winner",""))</f>
        <v/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" hidden="false" customHeight="false" outlineLevel="0" collapsed="false">
      <c r="A23" s="22"/>
      <c r="B23" s="21"/>
      <c r="C23" s="21"/>
      <c r="D23" s="21"/>
      <c r="E23" s="23"/>
      <c r="F23" s="21"/>
      <c r="G23" s="24"/>
      <c r="H23" s="24"/>
      <c r="I23" s="25" t="n">
        <f aca="false">IFERROR(H23/G23,0)</f>
        <v>0</v>
      </c>
      <c r="J23" s="23" t="n">
        <f aca="false">IFERROR(E23*H23,0)</f>
        <v>0</v>
      </c>
      <c r="K23" s="23" t="n">
        <f aca="false">IFERROR(J23/G23,0)</f>
        <v>0</v>
      </c>
      <c r="L23" s="21" t="str">
        <f aca="false">IF(B23="","",IF(J23=MAX(SUMIFS($J$2:$J$200,$B$2:$B$200,B23,$C$2:$C$200,C23,$D$2:$D$200,"A"),SUMIFS($J$2:$J$200,$B$2:$B$200,B23,$C$2:$C$200,C23,$D$2:$D$200,"B")),"Current Winner",""))</f>
        <v/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" hidden="false" customHeight="false" outlineLevel="0" collapsed="false">
      <c r="A24" s="22"/>
      <c r="B24" s="21"/>
      <c r="C24" s="21"/>
      <c r="D24" s="21"/>
      <c r="E24" s="23"/>
      <c r="F24" s="21"/>
      <c r="G24" s="24"/>
      <c r="H24" s="24"/>
      <c r="I24" s="25" t="n">
        <f aca="false">IFERROR(H24/G24,0)</f>
        <v>0</v>
      </c>
      <c r="J24" s="23" t="n">
        <f aca="false">IFERROR(E24*H24,0)</f>
        <v>0</v>
      </c>
      <c r="K24" s="23" t="n">
        <f aca="false">IFERROR(J24/G24,0)</f>
        <v>0</v>
      </c>
      <c r="L24" s="21" t="str">
        <f aca="false">IF(B24="","",IF(J24=MAX(SUMIFS($J$2:$J$200,$B$2:$B$200,B24,$C$2:$C$200,C24,$D$2:$D$200,"A"),SUMIFS($J$2:$J$200,$B$2:$B$200,B24,$C$2:$C$200,C24,$D$2:$D$200,"B")),"Current Winner",""))</f>
        <v/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" hidden="false" customHeight="false" outlineLevel="0" collapsed="false">
      <c r="A25" s="22"/>
      <c r="B25" s="21"/>
      <c r="C25" s="21"/>
      <c r="D25" s="21"/>
      <c r="E25" s="23"/>
      <c r="F25" s="21"/>
      <c r="G25" s="24"/>
      <c r="H25" s="24"/>
      <c r="I25" s="25" t="n">
        <f aca="false">IFERROR(H25/G25,0)</f>
        <v>0</v>
      </c>
      <c r="J25" s="23" t="n">
        <f aca="false">IFERROR(E25*H25,0)</f>
        <v>0</v>
      </c>
      <c r="K25" s="23" t="n">
        <f aca="false">IFERROR(J25/G25,0)</f>
        <v>0</v>
      </c>
      <c r="L25" s="21" t="str">
        <f aca="false">IF(B25="","",IF(J25=MAX(SUMIFS($J$2:$J$200,$B$2:$B$200,B25,$C$2:$C$200,C25,$D$2:$D$200,"A"),SUMIFS($J$2:$J$200,$B$2:$B$200,B25,$C$2:$C$200,C25,$D$2:$D$200,"B")),"Current Winner",""))</f>
        <v/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" hidden="false" customHeight="false" outlineLevel="0" collapsed="false">
      <c r="A26" s="22"/>
      <c r="B26" s="21"/>
      <c r="C26" s="21"/>
      <c r="D26" s="21"/>
      <c r="E26" s="23"/>
      <c r="F26" s="21"/>
      <c r="G26" s="24"/>
      <c r="H26" s="24"/>
      <c r="I26" s="25" t="n">
        <f aca="false">IFERROR(H26/G26,0)</f>
        <v>0</v>
      </c>
      <c r="J26" s="23" t="n">
        <f aca="false">IFERROR(E26*H26,0)</f>
        <v>0</v>
      </c>
      <c r="K26" s="23" t="n">
        <f aca="false">IFERROR(J26/G26,0)</f>
        <v>0</v>
      </c>
      <c r="L26" s="21" t="str">
        <f aca="false">IF(B26="","",IF(J26=MAX(SUMIFS($J$2:$J$200,$B$2:$B$200,B26,$C$2:$C$200,C26,$D$2:$D$200,"A"),SUMIFS($J$2:$J$200,$B$2:$B$200,B26,$C$2:$C$200,C26,$D$2:$D$200,"B")),"Current Winner",""))</f>
        <v/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" hidden="false" customHeight="false" outlineLevel="0" collapsed="false">
      <c r="A27" s="22"/>
      <c r="B27" s="21"/>
      <c r="C27" s="21"/>
      <c r="D27" s="21"/>
      <c r="E27" s="23"/>
      <c r="F27" s="21"/>
      <c r="G27" s="24"/>
      <c r="H27" s="24"/>
      <c r="I27" s="25" t="n">
        <f aca="false">IFERROR(H27/G27,0)</f>
        <v>0</v>
      </c>
      <c r="J27" s="23" t="n">
        <f aca="false">IFERROR(E27*H27,0)</f>
        <v>0</v>
      </c>
      <c r="K27" s="23" t="n">
        <f aca="false">IFERROR(J27/G27,0)</f>
        <v>0</v>
      </c>
      <c r="L27" s="21" t="str">
        <f aca="false">IF(B27="","",IF(J27=MAX(SUMIFS($J$2:$J$200,$B$2:$B$200,B27,$C$2:$C$200,C27,$D$2:$D$200,"A"),SUMIFS($J$2:$J$200,$B$2:$B$200,B27,$C$2:$C$200,C27,$D$2:$D$200,"B")),"Current Winner",""))</f>
        <v/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" hidden="false" customHeight="false" outlineLevel="0" collapsed="false">
      <c r="A28" s="22"/>
      <c r="B28" s="21"/>
      <c r="C28" s="21"/>
      <c r="D28" s="21"/>
      <c r="E28" s="23"/>
      <c r="F28" s="21"/>
      <c r="G28" s="24"/>
      <c r="H28" s="24"/>
      <c r="I28" s="25" t="n">
        <f aca="false">IFERROR(H28/G28,0)</f>
        <v>0</v>
      </c>
      <c r="J28" s="23" t="n">
        <f aca="false">IFERROR(E28*H28,0)</f>
        <v>0</v>
      </c>
      <c r="K28" s="23" t="n">
        <f aca="false">IFERROR(J28/G28,0)</f>
        <v>0</v>
      </c>
      <c r="L28" s="21" t="str">
        <f aca="false">IF(B28="","",IF(J28=MAX(SUMIFS($J$2:$J$200,$B$2:$B$200,B28,$C$2:$C$200,C28,$D$2:$D$200,"A"),SUMIFS($J$2:$J$200,$B$2:$B$200,B28,$C$2:$C$200,C28,$D$2:$D$200,"B")),"Current Winner",""))</f>
        <v/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" hidden="false" customHeight="false" outlineLevel="0" collapsed="false">
      <c r="A29" s="22"/>
      <c r="B29" s="21"/>
      <c r="C29" s="21"/>
      <c r="D29" s="21"/>
      <c r="E29" s="23"/>
      <c r="F29" s="21"/>
      <c r="G29" s="24"/>
      <c r="H29" s="24"/>
      <c r="I29" s="25" t="n">
        <f aca="false">IFERROR(H29/G29,0)</f>
        <v>0</v>
      </c>
      <c r="J29" s="23" t="n">
        <f aca="false">IFERROR(E29*H29,0)</f>
        <v>0</v>
      </c>
      <c r="K29" s="23" t="n">
        <f aca="false">IFERROR(J29/G29,0)</f>
        <v>0</v>
      </c>
      <c r="L29" s="21" t="str">
        <f aca="false">IF(B29="","",IF(J29=MAX(SUMIFS($J$2:$J$200,$B$2:$B$200,B29,$C$2:$C$200,C29,$D$2:$D$200,"A"),SUMIFS($J$2:$J$200,$B$2:$B$200,B29,$C$2:$C$200,C29,$D$2:$D$200,"B")),"Current Winner",""))</f>
        <v/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" hidden="false" customHeight="false" outlineLevel="0" collapsed="false">
      <c r="A30" s="22"/>
      <c r="B30" s="21"/>
      <c r="C30" s="21"/>
      <c r="D30" s="21"/>
      <c r="E30" s="23"/>
      <c r="F30" s="21"/>
      <c r="G30" s="24"/>
      <c r="H30" s="24"/>
      <c r="I30" s="25" t="n">
        <f aca="false">IFERROR(H30/G30,0)</f>
        <v>0</v>
      </c>
      <c r="J30" s="23" t="n">
        <f aca="false">IFERROR(E30*H30,0)</f>
        <v>0</v>
      </c>
      <c r="K30" s="23" t="n">
        <f aca="false">IFERROR(J30/G30,0)</f>
        <v>0</v>
      </c>
      <c r="L30" s="21" t="str">
        <f aca="false">IF(B30="","",IF(J30=MAX(SUMIFS($J$2:$J$200,$B$2:$B$200,B30,$C$2:$C$200,C30,$D$2:$D$200,"A"),SUMIFS($J$2:$J$200,$B$2:$B$200,B30,$C$2:$C$200,C30,$D$2:$D$200,"B")),"Current Winner",""))</f>
        <v/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" hidden="false" customHeight="false" outlineLevel="0" collapsed="false">
      <c r="A31" s="22"/>
      <c r="B31" s="21"/>
      <c r="C31" s="21"/>
      <c r="D31" s="21"/>
      <c r="E31" s="23"/>
      <c r="F31" s="21"/>
      <c r="G31" s="24"/>
      <c r="H31" s="24"/>
      <c r="I31" s="25" t="n">
        <f aca="false">IFERROR(H31/G31,0)</f>
        <v>0</v>
      </c>
      <c r="J31" s="23" t="n">
        <f aca="false">IFERROR(E31*H31,0)</f>
        <v>0</v>
      </c>
      <c r="K31" s="23" t="n">
        <f aca="false">IFERROR(J31/G31,0)</f>
        <v>0</v>
      </c>
      <c r="L31" s="21" t="str">
        <f aca="false">IF(B31="","",IF(J31=MAX(SUMIFS($J$2:$J$200,$B$2:$B$200,B31,$C$2:$C$200,C31,$D$2:$D$200,"A"),SUMIFS($J$2:$J$200,$B$2:$B$200,B31,$C$2:$C$200,C31,$D$2:$D$200,"B")),"Current Winner",""))</f>
        <v/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" hidden="false" customHeight="false" outlineLevel="0" collapsed="false">
      <c r="A32" s="22"/>
      <c r="B32" s="21"/>
      <c r="C32" s="21"/>
      <c r="D32" s="21"/>
      <c r="E32" s="23"/>
      <c r="F32" s="21"/>
      <c r="G32" s="24"/>
      <c r="H32" s="24"/>
      <c r="I32" s="25" t="n">
        <f aca="false">IFERROR(H32/G32,0)</f>
        <v>0</v>
      </c>
      <c r="J32" s="23" t="n">
        <f aca="false">IFERROR(E32*H32,0)</f>
        <v>0</v>
      </c>
      <c r="K32" s="23" t="n">
        <f aca="false">IFERROR(J32/G32,0)</f>
        <v>0</v>
      </c>
      <c r="L32" s="21" t="str">
        <f aca="false">IF(B32="","",IF(J32=MAX(SUMIFS($J$2:$J$200,$B$2:$B$200,B32,$C$2:$C$200,C32,$D$2:$D$200,"A"),SUMIFS($J$2:$J$200,$B$2:$B$200,B32,$C$2:$C$200,C32,$D$2:$D$200,"B")),"Current Winner",""))</f>
        <v/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" hidden="false" customHeight="false" outlineLevel="0" collapsed="false">
      <c r="A33" s="22"/>
      <c r="B33" s="21"/>
      <c r="C33" s="21"/>
      <c r="D33" s="21"/>
      <c r="E33" s="23"/>
      <c r="F33" s="21"/>
      <c r="G33" s="24"/>
      <c r="H33" s="24"/>
      <c r="I33" s="25" t="n">
        <f aca="false">IFERROR(H33/G33,0)</f>
        <v>0</v>
      </c>
      <c r="J33" s="23" t="n">
        <f aca="false">IFERROR(E33*H33,0)</f>
        <v>0</v>
      </c>
      <c r="K33" s="23" t="n">
        <f aca="false">IFERROR(J33/G33,0)</f>
        <v>0</v>
      </c>
      <c r="L33" s="21" t="str">
        <f aca="false">IF(B33="","",IF(J33=MAX(SUMIFS($J$2:$J$200,$B$2:$B$200,B33,$C$2:$C$200,C33,$D$2:$D$200,"A"),SUMIFS($J$2:$J$200,$B$2:$B$200,B33,$C$2:$C$200,C33,$D$2:$D$200,"B")),"Current Winner",""))</f>
        <v/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" hidden="false" customHeight="false" outlineLevel="0" collapsed="false">
      <c r="A34" s="22"/>
      <c r="B34" s="21"/>
      <c r="C34" s="21"/>
      <c r="D34" s="21"/>
      <c r="E34" s="23"/>
      <c r="F34" s="21"/>
      <c r="G34" s="24"/>
      <c r="H34" s="24"/>
      <c r="I34" s="25" t="n">
        <f aca="false">IFERROR(H34/G34,0)</f>
        <v>0</v>
      </c>
      <c r="J34" s="23" t="n">
        <f aca="false">IFERROR(E34*H34,0)</f>
        <v>0</v>
      </c>
      <c r="K34" s="23" t="n">
        <f aca="false">IFERROR(J34/G34,0)</f>
        <v>0</v>
      </c>
      <c r="L34" s="21" t="str">
        <f aca="false">IF(B34="","",IF(J34=MAX(SUMIFS($J$2:$J$200,$B$2:$B$200,B34,$C$2:$C$200,C34,$D$2:$D$200,"A"),SUMIFS($J$2:$J$200,$B$2:$B$200,B34,$C$2:$C$200,C34,$D$2:$D$200,"B")),"Current Winner",""))</f>
        <v/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" hidden="false" customHeight="false" outlineLevel="0" collapsed="false">
      <c r="A35" s="22"/>
      <c r="B35" s="21"/>
      <c r="C35" s="21"/>
      <c r="D35" s="21"/>
      <c r="E35" s="23"/>
      <c r="F35" s="21"/>
      <c r="G35" s="24"/>
      <c r="H35" s="24"/>
      <c r="I35" s="25" t="n">
        <f aca="false">IFERROR(H35/G35,0)</f>
        <v>0</v>
      </c>
      <c r="J35" s="23" t="n">
        <f aca="false">IFERROR(E35*H35,0)</f>
        <v>0</v>
      </c>
      <c r="K35" s="23" t="n">
        <f aca="false">IFERROR(J35/G35,0)</f>
        <v>0</v>
      </c>
      <c r="L35" s="21" t="str">
        <f aca="false">IF(B35="","",IF(J35=MAX(SUMIFS($J$2:$J$200,$B$2:$B$200,B35,$C$2:$C$200,C35,$D$2:$D$200,"A"),SUMIFS($J$2:$J$200,$B$2:$B$200,B35,$C$2:$C$200,C35,$D$2:$D$200,"B")),"Current Winner",""))</f>
        <v/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" hidden="false" customHeight="false" outlineLevel="0" collapsed="false">
      <c r="A36" s="22"/>
      <c r="B36" s="21"/>
      <c r="C36" s="21"/>
      <c r="D36" s="21"/>
      <c r="E36" s="23"/>
      <c r="F36" s="21"/>
      <c r="G36" s="24"/>
      <c r="H36" s="24"/>
      <c r="I36" s="25" t="n">
        <f aca="false">IFERROR(H36/G36,0)</f>
        <v>0</v>
      </c>
      <c r="J36" s="23" t="n">
        <f aca="false">IFERROR(E36*H36,0)</f>
        <v>0</v>
      </c>
      <c r="K36" s="23" t="n">
        <f aca="false">IFERROR(J36/G36,0)</f>
        <v>0</v>
      </c>
      <c r="L36" s="21" t="str">
        <f aca="false">IF(B36="","",IF(J36=MAX(SUMIFS($J$2:$J$200,$B$2:$B$200,B36,$C$2:$C$200,C36,$D$2:$D$200,"A"),SUMIFS($J$2:$J$200,$B$2:$B$200,B36,$C$2:$C$200,C36,$D$2:$D$200,"B")),"Current Winner",""))</f>
        <v/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" hidden="false" customHeight="false" outlineLevel="0" collapsed="false">
      <c r="A37" s="22"/>
      <c r="B37" s="21"/>
      <c r="C37" s="21"/>
      <c r="D37" s="21"/>
      <c r="E37" s="23"/>
      <c r="F37" s="21"/>
      <c r="G37" s="24"/>
      <c r="H37" s="24"/>
      <c r="I37" s="25" t="n">
        <f aca="false">IFERROR(H37/G37,0)</f>
        <v>0</v>
      </c>
      <c r="J37" s="23" t="n">
        <f aca="false">IFERROR(E37*H37,0)</f>
        <v>0</v>
      </c>
      <c r="K37" s="23" t="n">
        <f aca="false">IFERROR(J37/G37,0)</f>
        <v>0</v>
      </c>
      <c r="L37" s="21" t="str">
        <f aca="false">IF(B37="","",IF(J37=MAX(SUMIFS($J$2:$J$200,$B$2:$B$200,B37,$C$2:$C$200,C37,$D$2:$D$200,"A"),SUMIFS($J$2:$J$200,$B$2:$B$200,B37,$C$2:$C$200,C37,$D$2:$D$200,"B")),"Current Winner",""))</f>
        <v/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" hidden="false" customHeight="false" outlineLevel="0" collapsed="false">
      <c r="A38" s="22"/>
      <c r="B38" s="21"/>
      <c r="C38" s="21"/>
      <c r="D38" s="21"/>
      <c r="E38" s="23"/>
      <c r="F38" s="21"/>
      <c r="G38" s="24"/>
      <c r="H38" s="24"/>
      <c r="I38" s="25" t="n">
        <f aca="false">IFERROR(H38/G38,0)</f>
        <v>0</v>
      </c>
      <c r="J38" s="23" t="n">
        <f aca="false">IFERROR(E38*H38,0)</f>
        <v>0</v>
      </c>
      <c r="K38" s="23" t="n">
        <f aca="false">IFERROR(J38/G38,0)</f>
        <v>0</v>
      </c>
      <c r="L38" s="21" t="str">
        <f aca="false">IF(B38="","",IF(J38=MAX(SUMIFS($J$2:$J$200,$B$2:$B$200,B38,$C$2:$C$200,C38,$D$2:$D$200,"A"),SUMIFS($J$2:$J$200,$B$2:$B$200,B38,$C$2:$C$200,C38,$D$2:$D$200,"B")),"Current Winner",""))</f>
        <v/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" hidden="false" customHeight="false" outlineLevel="0" collapsed="false">
      <c r="A39" s="22"/>
      <c r="B39" s="21"/>
      <c r="C39" s="21"/>
      <c r="D39" s="21"/>
      <c r="E39" s="23"/>
      <c r="F39" s="21"/>
      <c r="G39" s="24"/>
      <c r="H39" s="24"/>
      <c r="I39" s="25" t="n">
        <f aca="false">IFERROR(H39/G39,0)</f>
        <v>0</v>
      </c>
      <c r="J39" s="23" t="n">
        <f aca="false">IFERROR(E39*H39,0)</f>
        <v>0</v>
      </c>
      <c r="K39" s="23" t="n">
        <f aca="false">IFERROR(J39/G39,0)</f>
        <v>0</v>
      </c>
      <c r="L39" s="21" t="str">
        <f aca="false">IF(B39="","",IF(J39=MAX(SUMIFS($J$2:$J$200,$B$2:$B$200,B39,$C$2:$C$200,C39,$D$2:$D$200,"A"),SUMIFS($J$2:$J$200,$B$2:$B$200,B39,$C$2:$C$200,C39,$D$2:$D$200,"B")),"Current Winner",""))</f>
        <v/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" hidden="false" customHeight="false" outlineLevel="0" collapsed="false">
      <c r="A40" s="22"/>
      <c r="B40" s="21"/>
      <c r="C40" s="21"/>
      <c r="D40" s="21"/>
      <c r="E40" s="23"/>
      <c r="F40" s="21"/>
      <c r="G40" s="24"/>
      <c r="H40" s="24"/>
      <c r="I40" s="25" t="n">
        <f aca="false">IFERROR(H40/G40,0)</f>
        <v>0</v>
      </c>
      <c r="J40" s="23" t="n">
        <f aca="false">IFERROR(E40*H40,0)</f>
        <v>0</v>
      </c>
      <c r="K40" s="23" t="n">
        <f aca="false">IFERROR(J40/G40,0)</f>
        <v>0</v>
      </c>
      <c r="L40" s="21" t="str">
        <f aca="false">IF(B40="","",IF(J40=MAX(SUMIFS($J$2:$J$200,$B$2:$B$200,B40,$C$2:$C$200,C40,$D$2:$D$200,"A"),SUMIFS($J$2:$J$200,$B$2:$B$200,B40,$C$2:$C$200,C40,$D$2:$D$200,"B")),"Current Winner",""))</f>
        <v/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" hidden="false" customHeight="false" outlineLevel="0" collapsed="false">
      <c r="A41" s="22"/>
      <c r="B41" s="21"/>
      <c r="C41" s="21"/>
      <c r="D41" s="21"/>
      <c r="E41" s="23"/>
      <c r="F41" s="21"/>
      <c r="G41" s="24"/>
      <c r="H41" s="24"/>
      <c r="I41" s="25" t="n">
        <f aca="false">IFERROR(H41/G41,0)</f>
        <v>0</v>
      </c>
      <c r="J41" s="23" t="n">
        <f aca="false">IFERROR(E41*H41,0)</f>
        <v>0</v>
      </c>
      <c r="K41" s="23" t="n">
        <f aca="false">IFERROR(J41/G41,0)</f>
        <v>0</v>
      </c>
      <c r="L41" s="21" t="str">
        <f aca="false">IF(B41="","",IF(J41=MAX(SUMIFS($J$2:$J$200,$B$2:$B$200,B41,$C$2:$C$200,C41,$D$2:$D$200,"A"),SUMIFS($J$2:$J$200,$B$2:$B$200,B41,$C$2:$C$200,C41,$D$2:$D$200,"B")),"Current Winner",""))</f>
        <v/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" hidden="false" customHeight="false" outlineLevel="0" collapsed="false">
      <c r="A42" s="22"/>
      <c r="B42" s="21"/>
      <c r="C42" s="21"/>
      <c r="D42" s="21"/>
      <c r="E42" s="23"/>
      <c r="F42" s="21"/>
      <c r="G42" s="24"/>
      <c r="H42" s="24"/>
      <c r="I42" s="25" t="n">
        <f aca="false">IFERROR(H42/G42,0)</f>
        <v>0</v>
      </c>
      <c r="J42" s="23" t="n">
        <f aca="false">IFERROR(E42*H42,0)</f>
        <v>0</v>
      </c>
      <c r="K42" s="23" t="n">
        <f aca="false">IFERROR(J42/G42,0)</f>
        <v>0</v>
      </c>
      <c r="L42" s="21" t="str">
        <f aca="false">IF(B42="","",IF(J42=MAX(SUMIFS($J$2:$J$200,$B$2:$B$200,B42,$C$2:$C$200,C42,$D$2:$D$200,"A"),SUMIFS($J$2:$J$200,$B$2:$B$200,B42,$C$2:$C$200,C42,$D$2:$D$200,"B")),"Current Winner",""))</f>
        <v/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" hidden="false" customHeight="false" outlineLevel="0" collapsed="false">
      <c r="A43" s="22"/>
      <c r="B43" s="21"/>
      <c r="C43" s="21"/>
      <c r="D43" s="21"/>
      <c r="E43" s="23"/>
      <c r="F43" s="21"/>
      <c r="G43" s="24"/>
      <c r="H43" s="24"/>
      <c r="I43" s="25" t="n">
        <f aca="false">IFERROR(H43/G43,0)</f>
        <v>0</v>
      </c>
      <c r="J43" s="23" t="n">
        <f aca="false">IFERROR(E43*H43,0)</f>
        <v>0</v>
      </c>
      <c r="K43" s="23" t="n">
        <f aca="false">IFERROR(J43/G43,0)</f>
        <v>0</v>
      </c>
      <c r="L43" s="21" t="str">
        <f aca="false">IF(B43="","",IF(J43=MAX(SUMIFS($J$2:$J$200,$B$2:$B$200,B43,$C$2:$C$200,C43,$D$2:$D$200,"A"),SUMIFS($J$2:$J$200,$B$2:$B$200,B43,$C$2:$C$200,C43,$D$2:$D$200,"B")),"Current Winner",""))</f>
        <v/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" hidden="false" customHeight="false" outlineLevel="0" collapsed="false">
      <c r="A44" s="22"/>
      <c r="B44" s="21"/>
      <c r="C44" s="21"/>
      <c r="D44" s="21"/>
      <c r="E44" s="23"/>
      <c r="F44" s="21"/>
      <c r="G44" s="24"/>
      <c r="H44" s="24"/>
      <c r="I44" s="25" t="n">
        <f aca="false">IFERROR(H44/G44,0)</f>
        <v>0</v>
      </c>
      <c r="J44" s="23" t="n">
        <f aca="false">IFERROR(E44*H44,0)</f>
        <v>0</v>
      </c>
      <c r="K44" s="23" t="n">
        <f aca="false">IFERROR(J44/G44,0)</f>
        <v>0</v>
      </c>
      <c r="L44" s="21" t="str">
        <f aca="false">IF(B44="","",IF(J44=MAX(SUMIFS($J$2:$J$200,$B$2:$B$200,B44,$C$2:$C$200,C44,$D$2:$D$200,"A"),SUMIFS($J$2:$J$200,$B$2:$B$200,B44,$C$2:$C$200,C44,$D$2:$D$200,"B")),"Current Winner",""))</f>
        <v/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" hidden="false" customHeight="false" outlineLevel="0" collapsed="false">
      <c r="A45" s="22"/>
      <c r="B45" s="21"/>
      <c r="C45" s="21"/>
      <c r="D45" s="21"/>
      <c r="E45" s="23"/>
      <c r="F45" s="21"/>
      <c r="G45" s="24"/>
      <c r="H45" s="24"/>
      <c r="I45" s="25" t="n">
        <f aca="false">IFERROR(H45/G45,0)</f>
        <v>0</v>
      </c>
      <c r="J45" s="23" t="n">
        <f aca="false">IFERROR(E45*H45,0)</f>
        <v>0</v>
      </c>
      <c r="K45" s="23" t="n">
        <f aca="false">IFERROR(J45/G45,0)</f>
        <v>0</v>
      </c>
      <c r="L45" s="21" t="str">
        <f aca="false">IF(B45="","",IF(J45=MAX(SUMIFS($J$2:$J$200,$B$2:$B$200,B45,$C$2:$C$200,C45,$D$2:$D$200,"A"),SUMIFS($J$2:$J$200,$B$2:$B$200,B45,$C$2:$C$200,C45,$D$2:$D$200,"B")),"Current Winner",""))</f>
        <v/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" hidden="false" customHeight="false" outlineLevel="0" collapsed="false">
      <c r="A46" s="22"/>
      <c r="B46" s="21"/>
      <c r="C46" s="21"/>
      <c r="D46" s="21"/>
      <c r="E46" s="23"/>
      <c r="F46" s="21"/>
      <c r="G46" s="24"/>
      <c r="H46" s="24"/>
      <c r="I46" s="25" t="n">
        <f aca="false">IFERROR(H46/G46,0)</f>
        <v>0</v>
      </c>
      <c r="J46" s="23" t="n">
        <f aca="false">IFERROR(E46*H46,0)</f>
        <v>0</v>
      </c>
      <c r="K46" s="23" t="n">
        <f aca="false">IFERROR(J46/G46,0)</f>
        <v>0</v>
      </c>
      <c r="L46" s="21" t="str">
        <f aca="false">IF(B46="","",IF(J46=MAX(SUMIFS($J$2:$J$200,$B$2:$B$200,B46,$C$2:$C$200,C46,$D$2:$D$200,"A"),SUMIFS($J$2:$J$200,$B$2:$B$200,B46,$C$2:$C$200,C46,$D$2:$D$200,"B")),"Current Winner",""))</f>
        <v/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" hidden="false" customHeight="false" outlineLevel="0" collapsed="false">
      <c r="A47" s="22"/>
      <c r="B47" s="21"/>
      <c r="C47" s="21"/>
      <c r="D47" s="21"/>
      <c r="E47" s="23"/>
      <c r="F47" s="21"/>
      <c r="G47" s="24"/>
      <c r="H47" s="24"/>
      <c r="I47" s="25" t="n">
        <f aca="false">IFERROR(H47/G47,0)</f>
        <v>0</v>
      </c>
      <c r="J47" s="23" t="n">
        <f aca="false">IFERROR(E47*H47,0)</f>
        <v>0</v>
      </c>
      <c r="K47" s="23" t="n">
        <f aca="false">IFERROR(J47/G47,0)</f>
        <v>0</v>
      </c>
      <c r="L47" s="21" t="str">
        <f aca="false">IF(B47="","",IF(J47=MAX(SUMIFS($J$2:$J$200,$B$2:$B$200,B47,$C$2:$C$200,C47,$D$2:$D$200,"A"),SUMIFS($J$2:$J$200,$B$2:$B$200,B47,$C$2:$C$200,C47,$D$2:$D$200,"B")),"Current Winner",""))</f>
        <v/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" hidden="false" customHeight="false" outlineLevel="0" collapsed="false">
      <c r="A48" s="22"/>
      <c r="B48" s="21"/>
      <c r="C48" s="21"/>
      <c r="D48" s="21"/>
      <c r="E48" s="23"/>
      <c r="F48" s="21"/>
      <c r="G48" s="24"/>
      <c r="H48" s="24"/>
      <c r="I48" s="25" t="n">
        <f aca="false">IFERROR(H48/G48,0)</f>
        <v>0</v>
      </c>
      <c r="J48" s="23" t="n">
        <f aca="false">IFERROR(E48*H48,0)</f>
        <v>0</v>
      </c>
      <c r="K48" s="23" t="n">
        <f aca="false">IFERROR(J48/G48,0)</f>
        <v>0</v>
      </c>
      <c r="L48" s="21" t="str">
        <f aca="false">IF(B48="","",IF(J48=MAX(SUMIFS($J$2:$J$200,$B$2:$B$200,B48,$C$2:$C$200,C48,$D$2:$D$200,"A"),SUMIFS($J$2:$J$200,$B$2:$B$200,B48,$C$2:$C$200,C48,$D$2:$D$200,"B")),"Current Winner",""))</f>
        <v/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" hidden="false" customHeight="false" outlineLevel="0" collapsed="false">
      <c r="A49" s="22"/>
      <c r="B49" s="21"/>
      <c r="C49" s="21"/>
      <c r="D49" s="21"/>
      <c r="E49" s="23"/>
      <c r="F49" s="21"/>
      <c r="G49" s="24"/>
      <c r="H49" s="24"/>
      <c r="I49" s="25" t="n">
        <f aca="false">IFERROR(H49/G49,0)</f>
        <v>0</v>
      </c>
      <c r="J49" s="23" t="n">
        <f aca="false">IFERROR(E49*H49,0)</f>
        <v>0</v>
      </c>
      <c r="K49" s="23" t="n">
        <f aca="false">IFERROR(J49/G49,0)</f>
        <v>0</v>
      </c>
      <c r="L49" s="21" t="str">
        <f aca="false">IF(B49="","",IF(J49=MAX(SUMIFS($J$2:$J$200,$B$2:$B$200,B49,$C$2:$C$200,C49,$D$2:$D$200,"A"),SUMIFS($J$2:$J$200,$B$2:$B$200,B49,$C$2:$C$200,C49,$D$2:$D$200,"B")),"Current Winner",""))</f>
        <v/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" hidden="false" customHeight="false" outlineLevel="0" collapsed="false">
      <c r="A50" s="22"/>
      <c r="B50" s="21"/>
      <c r="C50" s="21"/>
      <c r="D50" s="21"/>
      <c r="E50" s="23"/>
      <c r="F50" s="21"/>
      <c r="G50" s="24"/>
      <c r="H50" s="24"/>
      <c r="I50" s="25" t="n">
        <f aca="false">IFERROR(H50/G50,0)</f>
        <v>0</v>
      </c>
      <c r="J50" s="23" t="n">
        <f aca="false">IFERROR(E50*H50,0)</f>
        <v>0</v>
      </c>
      <c r="K50" s="23" t="n">
        <f aca="false">IFERROR(J50/G50,0)</f>
        <v>0</v>
      </c>
      <c r="L50" s="21" t="str">
        <f aca="false">IF(B50="","",IF(J50=MAX(SUMIFS($J$2:$J$200,$B$2:$B$200,B50,$C$2:$C$200,C50,$D$2:$D$200,"A"),SUMIFS($J$2:$J$200,$B$2:$B$200,B50,$C$2:$C$200,C50,$D$2:$D$200,"B")),"Current Winner",""))</f>
        <v/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" hidden="false" customHeight="false" outlineLevel="0" collapsed="false">
      <c r="A51" s="22"/>
      <c r="B51" s="21"/>
      <c r="C51" s="21"/>
      <c r="D51" s="21"/>
      <c r="E51" s="23"/>
      <c r="F51" s="21"/>
      <c r="G51" s="24"/>
      <c r="H51" s="24"/>
      <c r="I51" s="25" t="n">
        <f aca="false">IFERROR(H51/G51,0)</f>
        <v>0</v>
      </c>
      <c r="J51" s="23" t="n">
        <f aca="false">IFERROR(E51*H51,0)</f>
        <v>0</v>
      </c>
      <c r="K51" s="23" t="n">
        <f aca="false">IFERROR(J51/G51,0)</f>
        <v>0</v>
      </c>
      <c r="L51" s="21" t="str">
        <f aca="false">IF(B51="","",IF(J51=MAX(SUMIFS($J$2:$J$200,$B$2:$B$200,B51,$C$2:$C$200,C51,$D$2:$D$200,"A"),SUMIFS($J$2:$J$200,$B$2:$B$200,B51,$C$2:$C$200,C51,$D$2:$D$200,"B")),"Current Winner",""))</f>
        <v/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" hidden="false" customHeight="false" outlineLevel="0" collapsed="false">
      <c r="A52" s="22"/>
      <c r="B52" s="21"/>
      <c r="C52" s="21"/>
      <c r="D52" s="21"/>
      <c r="E52" s="23"/>
      <c r="F52" s="21"/>
      <c r="G52" s="24"/>
      <c r="H52" s="24"/>
      <c r="I52" s="25" t="n">
        <f aca="false">IFERROR(H52/G52,0)</f>
        <v>0</v>
      </c>
      <c r="J52" s="23" t="n">
        <f aca="false">IFERROR(E52*H52,0)</f>
        <v>0</v>
      </c>
      <c r="K52" s="23" t="n">
        <f aca="false">IFERROR(J52/G52,0)</f>
        <v>0</v>
      </c>
      <c r="L52" s="21" t="str">
        <f aca="false">IF(B52="","",IF(J52=MAX(SUMIFS($J$2:$J$200,$B$2:$B$200,B52,$C$2:$C$200,C52,$D$2:$D$200,"A"),SUMIFS($J$2:$J$200,$B$2:$B$200,B52,$C$2:$C$200,C52,$D$2:$D$200,"B")),"Current Winner",""))</f>
        <v/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" hidden="false" customHeight="false" outlineLevel="0" collapsed="false">
      <c r="A53" s="22"/>
      <c r="B53" s="21"/>
      <c r="C53" s="21"/>
      <c r="D53" s="21"/>
      <c r="E53" s="23"/>
      <c r="F53" s="21"/>
      <c r="G53" s="24"/>
      <c r="H53" s="24"/>
      <c r="I53" s="25" t="n">
        <f aca="false">IFERROR(H53/G53,0)</f>
        <v>0</v>
      </c>
      <c r="J53" s="23" t="n">
        <f aca="false">IFERROR(E53*H53,0)</f>
        <v>0</v>
      </c>
      <c r="K53" s="23" t="n">
        <f aca="false">IFERROR(J53/G53,0)</f>
        <v>0</v>
      </c>
      <c r="L53" s="21" t="str">
        <f aca="false">IF(B53="","",IF(J53=MAX(SUMIFS($J$2:$J$200,$B$2:$B$200,B53,$C$2:$C$200,C53,$D$2:$D$200,"A"),SUMIFS($J$2:$J$200,$B$2:$B$200,B53,$C$2:$C$200,C53,$D$2:$D$200,"B")),"Current Winner",""))</f>
        <v/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" hidden="false" customHeight="false" outlineLevel="0" collapsed="false">
      <c r="A54" s="22"/>
      <c r="B54" s="21"/>
      <c r="C54" s="21"/>
      <c r="D54" s="21"/>
      <c r="E54" s="23"/>
      <c r="F54" s="21"/>
      <c r="G54" s="24"/>
      <c r="H54" s="24"/>
      <c r="I54" s="25" t="n">
        <f aca="false">IFERROR(H54/G54,0)</f>
        <v>0</v>
      </c>
      <c r="J54" s="23" t="n">
        <f aca="false">IFERROR(E54*H54,0)</f>
        <v>0</v>
      </c>
      <c r="K54" s="23" t="n">
        <f aca="false">IFERROR(J54/G54,0)</f>
        <v>0</v>
      </c>
      <c r="L54" s="21" t="str">
        <f aca="false">IF(B54="","",IF(J54=MAX(SUMIFS($J$2:$J$200,$B$2:$B$200,B54,$C$2:$C$200,C54,$D$2:$D$200,"A"),SUMIFS($J$2:$J$200,$B$2:$B$200,B54,$C$2:$C$200,C54,$D$2:$D$200,"B")),"Current Winner",""))</f>
        <v/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" hidden="false" customHeight="false" outlineLevel="0" collapsed="false">
      <c r="A55" s="22"/>
      <c r="B55" s="21"/>
      <c r="C55" s="21"/>
      <c r="D55" s="21"/>
      <c r="E55" s="23"/>
      <c r="F55" s="21"/>
      <c r="G55" s="24"/>
      <c r="H55" s="24"/>
      <c r="I55" s="25" t="n">
        <f aca="false">IFERROR(H55/G55,0)</f>
        <v>0</v>
      </c>
      <c r="J55" s="23" t="n">
        <f aca="false">IFERROR(E55*H55,0)</f>
        <v>0</v>
      </c>
      <c r="K55" s="23" t="n">
        <f aca="false">IFERROR(J55/G55,0)</f>
        <v>0</v>
      </c>
      <c r="L55" s="21" t="str">
        <f aca="false">IF(B55="","",IF(J55=MAX(SUMIFS($J$2:$J$200,$B$2:$B$200,B55,$C$2:$C$200,C55,$D$2:$D$200,"A"),SUMIFS($J$2:$J$200,$B$2:$B$200,B55,$C$2:$C$200,C55,$D$2:$D$200,"B")),"Current Winner",""))</f>
        <v/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" hidden="false" customHeight="false" outlineLevel="0" collapsed="false">
      <c r="A56" s="22"/>
      <c r="B56" s="21"/>
      <c r="C56" s="21"/>
      <c r="D56" s="21"/>
      <c r="E56" s="23"/>
      <c r="F56" s="21"/>
      <c r="G56" s="24"/>
      <c r="H56" s="24"/>
      <c r="I56" s="25" t="n">
        <f aca="false">IFERROR(H56/G56,0)</f>
        <v>0</v>
      </c>
      <c r="J56" s="23" t="n">
        <f aca="false">IFERROR(E56*H56,0)</f>
        <v>0</v>
      </c>
      <c r="K56" s="23" t="n">
        <f aca="false">IFERROR(J56/G56,0)</f>
        <v>0</v>
      </c>
      <c r="L56" s="21" t="str">
        <f aca="false">IF(B56="","",IF(J56=MAX(SUMIFS($J$2:$J$200,$B$2:$B$200,B56,$C$2:$C$200,C56,$D$2:$D$200,"A"),SUMIFS($J$2:$J$200,$B$2:$B$200,B56,$C$2:$C$200,C56,$D$2:$D$200,"B")),"Current Winner",""))</f>
        <v/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" hidden="false" customHeight="false" outlineLevel="0" collapsed="false">
      <c r="A57" s="22"/>
      <c r="B57" s="21"/>
      <c r="C57" s="21"/>
      <c r="D57" s="21"/>
      <c r="E57" s="23"/>
      <c r="F57" s="21"/>
      <c r="G57" s="24"/>
      <c r="H57" s="24"/>
      <c r="I57" s="25" t="n">
        <f aca="false">IFERROR(H57/G57,0)</f>
        <v>0</v>
      </c>
      <c r="J57" s="23" t="n">
        <f aca="false">IFERROR(E57*H57,0)</f>
        <v>0</v>
      </c>
      <c r="K57" s="23" t="n">
        <f aca="false">IFERROR(J57/G57,0)</f>
        <v>0</v>
      </c>
      <c r="L57" s="21" t="str">
        <f aca="false">IF(B57="","",IF(J57=MAX(SUMIFS($J$2:$J$200,$B$2:$B$200,B57,$C$2:$C$200,C57,$D$2:$D$200,"A"),SUMIFS($J$2:$J$200,$B$2:$B$200,B57,$C$2:$C$200,C57,$D$2:$D$200,"B")),"Current Winner",""))</f>
        <v/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" hidden="false" customHeight="false" outlineLevel="0" collapsed="false">
      <c r="A58" s="22"/>
      <c r="B58" s="21"/>
      <c r="C58" s="21"/>
      <c r="D58" s="21"/>
      <c r="E58" s="23"/>
      <c r="F58" s="21"/>
      <c r="G58" s="24"/>
      <c r="H58" s="24"/>
      <c r="I58" s="25" t="n">
        <f aca="false">IFERROR(H58/G58,0)</f>
        <v>0</v>
      </c>
      <c r="J58" s="23" t="n">
        <f aca="false">IFERROR(E58*H58,0)</f>
        <v>0</v>
      </c>
      <c r="K58" s="23" t="n">
        <f aca="false">IFERROR(J58/G58,0)</f>
        <v>0</v>
      </c>
      <c r="L58" s="21" t="str">
        <f aca="false">IF(B58="","",IF(J58=MAX(SUMIFS($J$2:$J$200,$B$2:$B$200,B58,$C$2:$C$200,C58,$D$2:$D$200,"A"),SUMIFS($J$2:$J$200,$B$2:$B$200,B58,$C$2:$C$200,C58,$D$2:$D$200,"B")),"Current Winner",""))</f>
        <v/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" hidden="false" customHeight="false" outlineLevel="0" collapsed="false">
      <c r="A59" s="22"/>
      <c r="B59" s="21"/>
      <c r="C59" s="21"/>
      <c r="D59" s="21"/>
      <c r="E59" s="23"/>
      <c r="F59" s="21"/>
      <c r="G59" s="24"/>
      <c r="H59" s="24"/>
      <c r="I59" s="25" t="n">
        <f aca="false">IFERROR(H59/G59,0)</f>
        <v>0</v>
      </c>
      <c r="J59" s="23" t="n">
        <f aca="false">IFERROR(E59*H59,0)</f>
        <v>0</v>
      </c>
      <c r="K59" s="23" t="n">
        <f aca="false">IFERROR(J59/G59,0)</f>
        <v>0</v>
      </c>
      <c r="L59" s="21" t="str">
        <f aca="false">IF(B59="","",IF(J59=MAX(SUMIFS($J$2:$J$200,$B$2:$B$200,B59,$C$2:$C$200,C59,$D$2:$D$200,"A"),SUMIFS($J$2:$J$200,$B$2:$B$200,B59,$C$2:$C$200,C59,$D$2:$D$200,"B")),"Current Winner",""))</f>
        <v/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" hidden="false" customHeight="false" outlineLevel="0" collapsed="false">
      <c r="A60" s="22"/>
      <c r="B60" s="21"/>
      <c r="C60" s="21"/>
      <c r="D60" s="21"/>
      <c r="E60" s="23"/>
      <c r="F60" s="21"/>
      <c r="G60" s="24"/>
      <c r="H60" s="24"/>
      <c r="I60" s="25" t="n">
        <f aca="false">IFERROR(H60/G60,0)</f>
        <v>0</v>
      </c>
      <c r="J60" s="23" t="n">
        <f aca="false">IFERROR(E60*H60,0)</f>
        <v>0</v>
      </c>
      <c r="K60" s="23" t="n">
        <f aca="false">IFERROR(J60/G60,0)</f>
        <v>0</v>
      </c>
      <c r="L60" s="21" t="str">
        <f aca="false">IF(B60="","",IF(J60=MAX(SUMIFS($J$2:$J$200,$B$2:$B$200,B60,$C$2:$C$200,C60,$D$2:$D$200,"A"),SUMIFS($J$2:$J$200,$B$2:$B$200,B60,$C$2:$C$200,C60,$D$2:$D$200,"B")),"Current Winner",""))</f>
        <v/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" hidden="false" customHeight="false" outlineLevel="0" collapsed="false">
      <c r="A61" s="22"/>
      <c r="B61" s="21"/>
      <c r="C61" s="21"/>
      <c r="D61" s="21"/>
      <c r="E61" s="23"/>
      <c r="F61" s="21"/>
      <c r="G61" s="24"/>
      <c r="H61" s="24"/>
      <c r="I61" s="25" t="n">
        <f aca="false">IFERROR(H61/G61,0)</f>
        <v>0</v>
      </c>
      <c r="J61" s="23" t="n">
        <f aca="false">IFERROR(E61*H61,0)</f>
        <v>0</v>
      </c>
      <c r="K61" s="23" t="n">
        <f aca="false">IFERROR(J61/G61,0)</f>
        <v>0</v>
      </c>
      <c r="L61" s="21" t="str">
        <f aca="false">IF(B61="","",IF(J61=MAX(SUMIFS($J$2:$J$200,$B$2:$B$200,B61,$C$2:$C$200,C61,$D$2:$D$200,"A"),SUMIFS($J$2:$J$200,$B$2:$B$200,B61,$C$2:$C$200,C61,$D$2:$D$200,"B")),"Current Winner",""))</f>
        <v/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" hidden="false" customHeight="false" outlineLevel="0" collapsed="false">
      <c r="A62" s="22"/>
      <c r="B62" s="21"/>
      <c r="C62" s="21"/>
      <c r="D62" s="21"/>
      <c r="E62" s="23"/>
      <c r="F62" s="21"/>
      <c r="G62" s="24"/>
      <c r="H62" s="24"/>
      <c r="I62" s="25" t="n">
        <f aca="false">IFERROR(H62/G62,0)</f>
        <v>0</v>
      </c>
      <c r="J62" s="23" t="n">
        <f aca="false">IFERROR(E62*H62,0)</f>
        <v>0</v>
      </c>
      <c r="K62" s="23" t="n">
        <f aca="false">IFERROR(J62/G62,0)</f>
        <v>0</v>
      </c>
      <c r="L62" s="21" t="str">
        <f aca="false">IF(B62="","",IF(J62=MAX(SUMIFS($J$2:$J$200,$B$2:$B$200,B62,$C$2:$C$200,C62,$D$2:$D$200,"A"),SUMIFS($J$2:$J$200,$B$2:$B$200,B62,$C$2:$C$200,C62,$D$2:$D$200,"B")),"Current Winner",""))</f>
        <v/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" hidden="false" customHeight="false" outlineLevel="0" collapsed="false">
      <c r="A63" s="22"/>
      <c r="B63" s="21"/>
      <c r="C63" s="21"/>
      <c r="D63" s="21"/>
      <c r="E63" s="23"/>
      <c r="F63" s="21"/>
      <c r="G63" s="24"/>
      <c r="H63" s="24"/>
      <c r="I63" s="25" t="n">
        <f aca="false">IFERROR(H63/G63,0)</f>
        <v>0</v>
      </c>
      <c r="J63" s="23" t="n">
        <f aca="false">IFERROR(E63*H63,0)</f>
        <v>0</v>
      </c>
      <c r="K63" s="23" t="n">
        <f aca="false">IFERROR(J63/G63,0)</f>
        <v>0</v>
      </c>
      <c r="L63" s="21" t="str">
        <f aca="false">IF(B63="","",IF(J63=MAX(SUMIFS($J$2:$J$200,$B$2:$B$200,B63,$C$2:$C$200,C63,$D$2:$D$200,"A"),SUMIFS($J$2:$J$200,$B$2:$B$200,B63,$C$2:$C$200,C63,$D$2:$D$200,"B")),"Current Winner",""))</f>
        <v/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" hidden="false" customHeight="false" outlineLevel="0" collapsed="false">
      <c r="A64" s="22"/>
      <c r="B64" s="21"/>
      <c r="C64" s="21"/>
      <c r="D64" s="21"/>
      <c r="E64" s="23"/>
      <c r="F64" s="21"/>
      <c r="G64" s="24"/>
      <c r="H64" s="24"/>
      <c r="I64" s="25" t="n">
        <f aca="false">IFERROR(H64/G64,0)</f>
        <v>0</v>
      </c>
      <c r="J64" s="23" t="n">
        <f aca="false">IFERROR(E64*H64,0)</f>
        <v>0</v>
      </c>
      <c r="K64" s="23" t="n">
        <f aca="false">IFERROR(J64/G64,0)</f>
        <v>0</v>
      </c>
      <c r="L64" s="21" t="str">
        <f aca="false">IF(B64="","",IF(J64=MAX(SUMIFS($J$2:$J$200,$B$2:$B$200,B64,$C$2:$C$200,C64,$D$2:$D$200,"A"),SUMIFS($J$2:$J$200,$B$2:$B$200,B64,$C$2:$C$200,C64,$D$2:$D$200,"B")),"Current Winner",""))</f>
        <v/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" hidden="false" customHeight="false" outlineLevel="0" collapsed="false">
      <c r="A65" s="22"/>
      <c r="B65" s="21"/>
      <c r="C65" s="21"/>
      <c r="D65" s="21"/>
      <c r="E65" s="23"/>
      <c r="F65" s="21"/>
      <c r="G65" s="24"/>
      <c r="H65" s="24"/>
      <c r="I65" s="25" t="n">
        <f aca="false">IFERROR(H65/G65,0)</f>
        <v>0</v>
      </c>
      <c r="J65" s="23" t="n">
        <f aca="false">IFERROR(E65*H65,0)</f>
        <v>0</v>
      </c>
      <c r="K65" s="23" t="n">
        <f aca="false">IFERROR(J65/G65,0)</f>
        <v>0</v>
      </c>
      <c r="L65" s="21" t="str">
        <f aca="false">IF(B65="","",IF(J65=MAX(SUMIFS($J$2:$J$200,$B$2:$B$200,B65,$C$2:$C$200,C65,$D$2:$D$200,"A"),SUMIFS($J$2:$J$200,$B$2:$B$200,B65,$C$2:$C$200,C65,$D$2:$D$200,"B")),"Current Winner",""))</f>
        <v/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" hidden="false" customHeight="false" outlineLevel="0" collapsed="false">
      <c r="A66" s="22"/>
      <c r="B66" s="21"/>
      <c r="C66" s="21"/>
      <c r="D66" s="21"/>
      <c r="E66" s="23"/>
      <c r="F66" s="21"/>
      <c r="G66" s="24"/>
      <c r="H66" s="24"/>
      <c r="I66" s="25" t="n">
        <f aca="false">IFERROR(H66/G66,0)</f>
        <v>0</v>
      </c>
      <c r="J66" s="23" t="n">
        <f aca="false">IFERROR(E66*H66,0)</f>
        <v>0</v>
      </c>
      <c r="K66" s="23" t="n">
        <f aca="false">IFERROR(J66/G66,0)</f>
        <v>0</v>
      </c>
      <c r="L66" s="21" t="str">
        <f aca="false">IF(B66="","",IF(J66=MAX(SUMIFS($J$2:$J$200,$B$2:$B$200,B66,$C$2:$C$200,C66,$D$2:$D$200,"A"),SUMIFS($J$2:$J$200,$B$2:$B$200,B66,$C$2:$C$200,C66,$D$2:$D$200,"B")),"Current Winner",""))</f>
        <v/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" hidden="false" customHeight="false" outlineLevel="0" collapsed="false">
      <c r="A67" s="22"/>
      <c r="B67" s="21"/>
      <c r="C67" s="21"/>
      <c r="D67" s="21"/>
      <c r="E67" s="23"/>
      <c r="F67" s="21"/>
      <c r="G67" s="24"/>
      <c r="H67" s="24"/>
      <c r="I67" s="25" t="n">
        <f aca="false">IFERROR(H67/G67,0)</f>
        <v>0</v>
      </c>
      <c r="J67" s="23" t="n">
        <f aca="false">IFERROR(E67*H67,0)</f>
        <v>0</v>
      </c>
      <c r="K67" s="23" t="n">
        <f aca="false">IFERROR(J67/G67,0)</f>
        <v>0</v>
      </c>
      <c r="L67" s="21" t="str">
        <f aca="false">IF(B67="","",IF(J67=MAX(SUMIFS($J$2:$J$200,$B$2:$B$200,B67,$C$2:$C$200,C67,$D$2:$D$200,"A"),SUMIFS($J$2:$J$200,$B$2:$B$200,B67,$C$2:$C$200,C67,$D$2:$D$200,"B")),"Current Winner",""))</f>
        <v/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" hidden="false" customHeight="false" outlineLevel="0" collapsed="false">
      <c r="A68" s="22"/>
      <c r="B68" s="21"/>
      <c r="C68" s="21"/>
      <c r="D68" s="21"/>
      <c r="E68" s="23"/>
      <c r="F68" s="21"/>
      <c r="G68" s="24"/>
      <c r="H68" s="24"/>
      <c r="I68" s="25" t="n">
        <f aca="false">IFERROR(H68/G68,0)</f>
        <v>0</v>
      </c>
      <c r="J68" s="23" t="n">
        <f aca="false">IFERROR(E68*H68,0)</f>
        <v>0</v>
      </c>
      <c r="K68" s="23" t="n">
        <f aca="false">IFERROR(J68/G68,0)</f>
        <v>0</v>
      </c>
      <c r="L68" s="21" t="str">
        <f aca="false">IF(B68="","",IF(J68=MAX(SUMIFS($J$2:$J$200,$B$2:$B$200,B68,$C$2:$C$200,C68,$D$2:$D$200,"A"),SUMIFS($J$2:$J$200,$B$2:$B$200,B68,$C$2:$C$200,C68,$D$2:$D$200,"B")),"Current Winner",""))</f>
        <v/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" hidden="false" customHeight="false" outlineLevel="0" collapsed="false">
      <c r="A69" s="22"/>
      <c r="B69" s="21"/>
      <c r="C69" s="21"/>
      <c r="D69" s="21"/>
      <c r="E69" s="23"/>
      <c r="F69" s="21"/>
      <c r="G69" s="24"/>
      <c r="H69" s="24"/>
      <c r="I69" s="25" t="n">
        <f aca="false">IFERROR(H69/G69,0)</f>
        <v>0</v>
      </c>
      <c r="J69" s="23" t="n">
        <f aca="false">IFERROR(E69*H69,0)</f>
        <v>0</v>
      </c>
      <c r="K69" s="23" t="n">
        <f aca="false">IFERROR(J69/G69,0)</f>
        <v>0</v>
      </c>
      <c r="L69" s="21" t="str">
        <f aca="false">IF(B69="","",IF(J69=MAX(SUMIFS($J$2:$J$200,$B$2:$B$200,B69,$C$2:$C$200,C69,$D$2:$D$200,"A"),SUMIFS($J$2:$J$200,$B$2:$B$200,B69,$C$2:$C$200,C69,$D$2:$D$200,"B")),"Current Winner",""))</f>
        <v/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" hidden="false" customHeight="false" outlineLevel="0" collapsed="false">
      <c r="A70" s="22"/>
      <c r="B70" s="21"/>
      <c r="C70" s="21"/>
      <c r="D70" s="21"/>
      <c r="E70" s="23"/>
      <c r="F70" s="21"/>
      <c r="G70" s="24"/>
      <c r="H70" s="24"/>
      <c r="I70" s="25" t="n">
        <f aca="false">IFERROR(H70/G70,0)</f>
        <v>0</v>
      </c>
      <c r="J70" s="23" t="n">
        <f aca="false">IFERROR(E70*H70,0)</f>
        <v>0</v>
      </c>
      <c r="K70" s="23" t="n">
        <f aca="false">IFERROR(J70/G70,0)</f>
        <v>0</v>
      </c>
      <c r="L70" s="21" t="str">
        <f aca="false">IF(B70="","",IF(J70=MAX(SUMIFS($J$2:$J$200,$B$2:$B$200,B70,$C$2:$C$200,C70,$D$2:$D$200,"A"),SUMIFS($J$2:$J$200,$B$2:$B$200,B70,$C$2:$C$200,C70,$D$2:$D$200,"B")),"Current Winner",""))</f>
        <v/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" hidden="false" customHeight="false" outlineLevel="0" collapsed="false">
      <c r="A71" s="22"/>
      <c r="B71" s="21"/>
      <c r="C71" s="21"/>
      <c r="D71" s="21"/>
      <c r="E71" s="23"/>
      <c r="F71" s="21"/>
      <c r="G71" s="24"/>
      <c r="H71" s="24"/>
      <c r="I71" s="25" t="n">
        <f aca="false">IFERROR(H71/G71,0)</f>
        <v>0</v>
      </c>
      <c r="J71" s="23" t="n">
        <f aca="false">IFERROR(E71*H71,0)</f>
        <v>0</v>
      </c>
      <c r="K71" s="23" t="n">
        <f aca="false">IFERROR(J71/G71,0)</f>
        <v>0</v>
      </c>
      <c r="L71" s="21" t="str">
        <f aca="false">IF(B71="","",IF(J71=MAX(SUMIFS($J$2:$J$200,$B$2:$B$200,B71,$C$2:$C$200,C71,$D$2:$D$200,"A"),SUMIFS($J$2:$J$200,$B$2:$B$200,B71,$C$2:$C$200,C71,$D$2:$D$200,"B")),"Current Winner",""))</f>
        <v/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" hidden="false" customHeight="false" outlineLevel="0" collapsed="false">
      <c r="A72" s="22"/>
      <c r="B72" s="21"/>
      <c r="C72" s="21"/>
      <c r="D72" s="21"/>
      <c r="E72" s="23"/>
      <c r="F72" s="21"/>
      <c r="G72" s="24"/>
      <c r="H72" s="24"/>
      <c r="I72" s="25" t="n">
        <f aca="false">IFERROR(H72/G72,0)</f>
        <v>0</v>
      </c>
      <c r="J72" s="23" t="n">
        <f aca="false">IFERROR(E72*H72,0)</f>
        <v>0</v>
      </c>
      <c r="K72" s="23" t="n">
        <f aca="false">IFERROR(J72/G72,0)</f>
        <v>0</v>
      </c>
      <c r="L72" s="21" t="str">
        <f aca="false">IF(B72="","",IF(J72=MAX(SUMIFS($J$2:$J$200,$B$2:$B$200,B72,$C$2:$C$200,C72,$D$2:$D$200,"A"),SUMIFS($J$2:$J$200,$B$2:$B$200,B72,$C$2:$C$200,C72,$D$2:$D$200,"B")),"Current Winner",""))</f>
        <v/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" hidden="false" customHeight="false" outlineLevel="0" collapsed="false">
      <c r="A73" s="22"/>
      <c r="B73" s="21"/>
      <c r="C73" s="21"/>
      <c r="D73" s="21"/>
      <c r="E73" s="23"/>
      <c r="F73" s="21"/>
      <c r="G73" s="24"/>
      <c r="H73" s="24"/>
      <c r="I73" s="25" t="n">
        <f aca="false">IFERROR(H73/G73,0)</f>
        <v>0</v>
      </c>
      <c r="J73" s="23" t="n">
        <f aca="false">IFERROR(E73*H73,0)</f>
        <v>0</v>
      </c>
      <c r="K73" s="23" t="n">
        <f aca="false">IFERROR(J73/G73,0)</f>
        <v>0</v>
      </c>
      <c r="L73" s="21" t="str">
        <f aca="false">IF(B73="","",IF(J73=MAX(SUMIFS($J$2:$J$200,$B$2:$B$200,B73,$C$2:$C$200,C73,$D$2:$D$200,"A"),SUMIFS($J$2:$J$200,$B$2:$B$200,B73,$C$2:$C$200,C73,$D$2:$D$200,"B")),"Current Winner",""))</f>
        <v/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" hidden="false" customHeight="false" outlineLevel="0" collapsed="false">
      <c r="A74" s="22"/>
      <c r="B74" s="21"/>
      <c r="C74" s="21"/>
      <c r="D74" s="21"/>
      <c r="E74" s="23"/>
      <c r="F74" s="21"/>
      <c r="G74" s="24"/>
      <c r="H74" s="24"/>
      <c r="I74" s="25" t="n">
        <f aca="false">IFERROR(H74/G74,0)</f>
        <v>0</v>
      </c>
      <c r="J74" s="23" t="n">
        <f aca="false">IFERROR(E74*H74,0)</f>
        <v>0</v>
      </c>
      <c r="K74" s="23" t="n">
        <f aca="false">IFERROR(J74/G74,0)</f>
        <v>0</v>
      </c>
      <c r="L74" s="21" t="str">
        <f aca="false">IF(B74="","",IF(J74=MAX(SUMIFS($J$2:$J$200,$B$2:$B$200,B74,$C$2:$C$200,C74,$D$2:$D$200,"A"),SUMIFS($J$2:$J$200,$B$2:$B$200,B74,$C$2:$C$200,C74,$D$2:$D$200,"B")),"Current Winner",""))</f>
        <v/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" hidden="false" customHeight="false" outlineLevel="0" collapsed="false">
      <c r="A75" s="22"/>
      <c r="B75" s="21"/>
      <c r="C75" s="21"/>
      <c r="D75" s="21"/>
      <c r="E75" s="23"/>
      <c r="F75" s="21"/>
      <c r="G75" s="24"/>
      <c r="H75" s="24"/>
      <c r="I75" s="25" t="n">
        <f aca="false">IFERROR(H75/G75,0)</f>
        <v>0</v>
      </c>
      <c r="J75" s="23" t="n">
        <f aca="false">IFERROR(E75*H75,0)</f>
        <v>0</v>
      </c>
      <c r="K75" s="23" t="n">
        <f aca="false">IFERROR(J75/G75,0)</f>
        <v>0</v>
      </c>
      <c r="L75" s="21" t="str">
        <f aca="false">IF(B75="","",IF(J75=MAX(SUMIFS($J$2:$J$200,$B$2:$B$200,B75,$C$2:$C$200,C75,$D$2:$D$200,"A"),SUMIFS($J$2:$J$200,$B$2:$B$200,B75,$C$2:$C$200,C75,$D$2:$D$200,"B")),"Current Winner",""))</f>
        <v/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" hidden="false" customHeight="false" outlineLevel="0" collapsed="false">
      <c r="A76" s="22"/>
      <c r="B76" s="21"/>
      <c r="C76" s="21"/>
      <c r="D76" s="21"/>
      <c r="E76" s="23"/>
      <c r="F76" s="21"/>
      <c r="G76" s="24"/>
      <c r="H76" s="24"/>
      <c r="I76" s="25" t="n">
        <f aca="false">IFERROR(H76/G76,0)</f>
        <v>0</v>
      </c>
      <c r="J76" s="23" t="n">
        <f aca="false">IFERROR(E76*H76,0)</f>
        <v>0</v>
      </c>
      <c r="K76" s="23" t="n">
        <f aca="false">IFERROR(J76/G76,0)</f>
        <v>0</v>
      </c>
      <c r="L76" s="21" t="str">
        <f aca="false">IF(B76="","",IF(J76=MAX(SUMIFS($J$2:$J$200,$B$2:$B$200,B76,$C$2:$C$200,C76,$D$2:$D$200,"A"),SUMIFS($J$2:$J$200,$B$2:$B$200,B76,$C$2:$C$200,C76,$D$2:$D$200,"B")),"Current Winner",""))</f>
        <v/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" hidden="false" customHeight="false" outlineLevel="0" collapsed="false">
      <c r="A77" s="22"/>
      <c r="B77" s="21"/>
      <c r="C77" s="21"/>
      <c r="D77" s="21"/>
      <c r="E77" s="23"/>
      <c r="F77" s="21"/>
      <c r="G77" s="24"/>
      <c r="H77" s="24"/>
      <c r="I77" s="25" t="n">
        <f aca="false">IFERROR(H77/G77,0)</f>
        <v>0</v>
      </c>
      <c r="J77" s="23" t="n">
        <f aca="false">IFERROR(E77*H77,0)</f>
        <v>0</v>
      </c>
      <c r="K77" s="23" t="n">
        <f aca="false">IFERROR(J77/G77,0)</f>
        <v>0</v>
      </c>
      <c r="L77" s="21" t="str">
        <f aca="false">IF(B77="","",IF(J77=MAX(SUMIFS($J$2:$J$200,$B$2:$B$200,B77,$C$2:$C$200,C77,$D$2:$D$200,"A"),SUMIFS($J$2:$J$200,$B$2:$B$200,B77,$C$2:$C$200,C77,$D$2:$D$200,"B")),"Current Winner",""))</f>
        <v/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" hidden="false" customHeight="false" outlineLevel="0" collapsed="false">
      <c r="A78" s="22"/>
      <c r="B78" s="21"/>
      <c r="C78" s="21"/>
      <c r="D78" s="21"/>
      <c r="E78" s="23"/>
      <c r="F78" s="21"/>
      <c r="G78" s="24"/>
      <c r="H78" s="24"/>
      <c r="I78" s="25" t="n">
        <f aca="false">IFERROR(H78/G78,0)</f>
        <v>0</v>
      </c>
      <c r="J78" s="23" t="n">
        <f aca="false">IFERROR(E78*H78,0)</f>
        <v>0</v>
      </c>
      <c r="K78" s="23" t="n">
        <f aca="false">IFERROR(J78/G78,0)</f>
        <v>0</v>
      </c>
      <c r="L78" s="21" t="str">
        <f aca="false">IF(B78="","",IF(J78=MAX(SUMIFS($J$2:$J$200,$B$2:$B$200,B78,$C$2:$C$200,C78,$D$2:$D$200,"A"),SUMIFS($J$2:$J$200,$B$2:$B$200,B78,$C$2:$C$200,C78,$D$2:$D$200,"B")),"Current Winner",""))</f>
        <v/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" hidden="false" customHeight="false" outlineLevel="0" collapsed="false">
      <c r="A79" s="22"/>
      <c r="B79" s="21"/>
      <c r="C79" s="21"/>
      <c r="D79" s="21"/>
      <c r="E79" s="23"/>
      <c r="F79" s="21"/>
      <c r="G79" s="24"/>
      <c r="H79" s="24"/>
      <c r="I79" s="25" t="n">
        <f aca="false">IFERROR(H79/G79,0)</f>
        <v>0</v>
      </c>
      <c r="J79" s="23" t="n">
        <f aca="false">IFERROR(E79*H79,0)</f>
        <v>0</v>
      </c>
      <c r="K79" s="23" t="n">
        <f aca="false">IFERROR(J79/G79,0)</f>
        <v>0</v>
      </c>
      <c r="L79" s="21" t="str">
        <f aca="false">IF(B79="","",IF(J79=MAX(SUMIFS($J$2:$J$200,$B$2:$B$200,B79,$C$2:$C$200,C79,$D$2:$D$200,"A"),SUMIFS($J$2:$J$200,$B$2:$B$200,B79,$C$2:$C$200,C79,$D$2:$D$200,"B")),"Current Winner",""))</f>
        <v/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" hidden="false" customHeight="false" outlineLevel="0" collapsed="false">
      <c r="A80" s="22"/>
      <c r="B80" s="21"/>
      <c r="C80" s="21"/>
      <c r="D80" s="21"/>
      <c r="E80" s="23"/>
      <c r="F80" s="21"/>
      <c r="G80" s="24"/>
      <c r="H80" s="24"/>
      <c r="I80" s="25" t="n">
        <f aca="false">IFERROR(H80/G80,0)</f>
        <v>0</v>
      </c>
      <c r="J80" s="23" t="n">
        <f aca="false">IFERROR(E80*H80,0)</f>
        <v>0</v>
      </c>
      <c r="K80" s="23" t="n">
        <f aca="false">IFERROR(J80/G80,0)</f>
        <v>0</v>
      </c>
      <c r="L80" s="21" t="str">
        <f aca="false">IF(B80="","",IF(J80=MAX(SUMIFS($J$2:$J$200,$B$2:$B$200,B80,$C$2:$C$200,C80,$D$2:$D$200,"A"),SUMIFS($J$2:$J$200,$B$2:$B$200,B80,$C$2:$C$200,C80,$D$2:$D$200,"B")),"Current Winner",""))</f>
        <v/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" hidden="false" customHeight="false" outlineLevel="0" collapsed="false">
      <c r="A81" s="22"/>
      <c r="B81" s="21"/>
      <c r="C81" s="21"/>
      <c r="D81" s="21"/>
      <c r="E81" s="23"/>
      <c r="F81" s="21"/>
      <c r="G81" s="24"/>
      <c r="H81" s="24"/>
      <c r="I81" s="25" t="n">
        <f aca="false">IFERROR(H81/G81,0)</f>
        <v>0</v>
      </c>
      <c r="J81" s="23" t="n">
        <f aca="false">IFERROR(E81*H81,0)</f>
        <v>0</v>
      </c>
      <c r="K81" s="23" t="n">
        <f aca="false">IFERROR(J81/G81,0)</f>
        <v>0</v>
      </c>
      <c r="L81" s="21" t="str">
        <f aca="false">IF(B81="","",IF(J81=MAX(SUMIFS($J$2:$J$200,$B$2:$B$200,B81,$C$2:$C$200,C81,$D$2:$D$200,"A"),SUMIFS($J$2:$J$200,$B$2:$B$200,B81,$C$2:$C$200,C81,$D$2:$D$200,"B")),"Current Winner",""))</f>
        <v/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" hidden="false" customHeight="false" outlineLevel="0" collapsed="false">
      <c r="A82" s="22"/>
      <c r="B82" s="21"/>
      <c r="C82" s="21"/>
      <c r="D82" s="21"/>
      <c r="E82" s="23"/>
      <c r="F82" s="21"/>
      <c r="G82" s="24"/>
      <c r="H82" s="24"/>
      <c r="I82" s="25" t="n">
        <f aca="false">IFERROR(H82/G82,0)</f>
        <v>0</v>
      </c>
      <c r="J82" s="23" t="n">
        <f aca="false">IFERROR(E82*H82,0)</f>
        <v>0</v>
      </c>
      <c r="K82" s="23" t="n">
        <f aca="false">IFERROR(J82/G82,0)</f>
        <v>0</v>
      </c>
      <c r="L82" s="21" t="str">
        <f aca="false">IF(B82="","",IF(J82=MAX(SUMIFS($J$2:$J$200,$B$2:$B$200,B82,$C$2:$C$200,C82,$D$2:$D$200,"A"),SUMIFS($J$2:$J$200,$B$2:$B$200,B82,$C$2:$C$200,C82,$D$2:$D$200,"B")),"Current Winner",""))</f>
        <v/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" hidden="false" customHeight="false" outlineLevel="0" collapsed="false">
      <c r="A83" s="22"/>
      <c r="B83" s="21"/>
      <c r="C83" s="21"/>
      <c r="D83" s="21"/>
      <c r="E83" s="23"/>
      <c r="F83" s="21"/>
      <c r="G83" s="24"/>
      <c r="H83" s="24"/>
      <c r="I83" s="25" t="n">
        <f aca="false">IFERROR(H83/G83,0)</f>
        <v>0</v>
      </c>
      <c r="J83" s="23" t="n">
        <f aca="false">IFERROR(E83*H83,0)</f>
        <v>0</v>
      </c>
      <c r="K83" s="23" t="n">
        <f aca="false">IFERROR(J83/G83,0)</f>
        <v>0</v>
      </c>
      <c r="L83" s="21" t="str">
        <f aca="false">IF(B83="","",IF(J83=MAX(SUMIFS($J$2:$J$200,$B$2:$B$200,B83,$C$2:$C$200,C83,$D$2:$D$200,"A"),SUMIFS($J$2:$J$200,$B$2:$B$200,B83,$C$2:$C$200,C83,$D$2:$D$200,"B")),"Current Winner",""))</f>
        <v/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" hidden="false" customHeight="false" outlineLevel="0" collapsed="false">
      <c r="A84" s="22"/>
      <c r="B84" s="21"/>
      <c r="C84" s="21"/>
      <c r="D84" s="21"/>
      <c r="E84" s="23"/>
      <c r="F84" s="21"/>
      <c r="G84" s="24"/>
      <c r="H84" s="24"/>
      <c r="I84" s="25" t="n">
        <f aca="false">IFERROR(H84/G84,0)</f>
        <v>0</v>
      </c>
      <c r="J84" s="23" t="n">
        <f aca="false">IFERROR(E84*H84,0)</f>
        <v>0</v>
      </c>
      <c r="K84" s="23" t="n">
        <f aca="false">IFERROR(J84/G84,0)</f>
        <v>0</v>
      </c>
      <c r="L84" s="21" t="str">
        <f aca="false">IF(B84="","",IF(J84=MAX(SUMIFS($J$2:$J$200,$B$2:$B$200,B84,$C$2:$C$200,C84,$D$2:$D$200,"A"),SUMIFS($J$2:$J$200,$B$2:$B$200,B84,$C$2:$C$200,C84,$D$2:$D$200,"B")),"Current Winner",""))</f>
        <v/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" hidden="false" customHeight="false" outlineLevel="0" collapsed="false">
      <c r="A85" s="22"/>
      <c r="B85" s="21"/>
      <c r="C85" s="21"/>
      <c r="D85" s="21"/>
      <c r="E85" s="23"/>
      <c r="F85" s="21"/>
      <c r="G85" s="24"/>
      <c r="H85" s="24"/>
      <c r="I85" s="25" t="n">
        <f aca="false">IFERROR(H85/G85,0)</f>
        <v>0</v>
      </c>
      <c r="J85" s="23" t="n">
        <f aca="false">IFERROR(E85*H85,0)</f>
        <v>0</v>
      </c>
      <c r="K85" s="23" t="n">
        <f aca="false">IFERROR(J85/G85,0)</f>
        <v>0</v>
      </c>
      <c r="L85" s="21" t="str">
        <f aca="false">IF(B85="","",IF(J85=MAX(SUMIFS($J$2:$J$200,$B$2:$B$200,B85,$C$2:$C$200,C85,$D$2:$D$200,"A"),SUMIFS($J$2:$J$200,$B$2:$B$200,B85,$C$2:$C$200,C85,$D$2:$D$200,"B")),"Current Winner",""))</f>
        <v/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" hidden="false" customHeight="false" outlineLevel="0" collapsed="false">
      <c r="A86" s="22"/>
      <c r="B86" s="21"/>
      <c r="C86" s="21"/>
      <c r="D86" s="21"/>
      <c r="E86" s="23"/>
      <c r="F86" s="21"/>
      <c r="G86" s="24"/>
      <c r="H86" s="24"/>
      <c r="I86" s="25" t="n">
        <f aca="false">IFERROR(H86/G86,0)</f>
        <v>0</v>
      </c>
      <c r="J86" s="23" t="n">
        <f aca="false">IFERROR(E86*H86,0)</f>
        <v>0</v>
      </c>
      <c r="K86" s="23" t="n">
        <f aca="false">IFERROR(J86/G86,0)</f>
        <v>0</v>
      </c>
      <c r="L86" s="21" t="str">
        <f aca="false">IF(B86="","",IF(J86=MAX(SUMIFS($J$2:$J$200,$B$2:$B$200,B86,$C$2:$C$200,C86,$D$2:$D$200,"A"),SUMIFS($J$2:$J$200,$B$2:$B$200,B86,$C$2:$C$200,C86,$D$2:$D$200,"B")),"Current Winner",""))</f>
        <v/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" hidden="false" customHeight="false" outlineLevel="0" collapsed="false">
      <c r="A87" s="22"/>
      <c r="B87" s="21"/>
      <c r="C87" s="21"/>
      <c r="D87" s="21"/>
      <c r="E87" s="23"/>
      <c r="F87" s="21"/>
      <c r="G87" s="24"/>
      <c r="H87" s="24"/>
      <c r="I87" s="25" t="n">
        <f aca="false">IFERROR(H87/G87,0)</f>
        <v>0</v>
      </c>
      <c r="J87" s="23" t="n">
        <f aca="false">IFERROR(E87*H87,0)</f>
        <v>0</v>
      </c>
      <c r="K87" s="23" t="n">
        <f aca="false">IFERROR(J87/G87,0)</f>
        <v>0</v>
      </c>
      <c r="L87" s="21" t="str">
        <f aca="false">IF(B87="","",IF(J87=MAX(SUMIFS($J$2:$J$200,$B$2:$B$200,B87,$C$2:$C$200,C87,$D$2:$D$200,"A"),SUMIFS($J$2:$J$200,$B$2:$B$200,B87,$C$2:$C$200,C87,$D$2:$D$200,"B")),"Current Winner",""))</f>
        <v/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" hidden="false" customHeight="false" outlineLevel="0" collapsed="false">
      <c r="A88" s="22"/>
      <c r="B88" s="21"/>
      <c r="C88" s="21"/>
      <c r="D88" s="21"/>
      <c r="E88" s="23"/>
      <c r="F88" s="21"/>
      <c r="G88" s="24"/>
      <c r="H88" s="24"/>
      <c r="I88" s="25" t="n">
        <f aca="false">IFERROR(H88/G88,0)</f>
        <v>0</v>
      </c>
      <c r="J88" s="23" t="n">
        <f aca="false">IFERROR(E88*H88,0)</f>
        <v>0</v>
      </c>
      <c r="K88" s="23" t="n">
        <f aca="false">IFERROR(J88/G88,0)</f>
        <v>0</v>
      </c>
      <c r="L88" s="21" t="str">
        <f aca="false">IF(B88="","",IF(J88=MAX(SUMIFS($J$2:$J$200,$B$2:$B$200,B88,$C$2:$C$200,C88,$D$2:$D$200,"A"),SUMIFS($J$2:$J$200,$B$2:$B$200,B88,$C$2:$C$200,C88,$D$2:$D$200,"B")),"Current Winner",""))</f>
        <v/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" hidden="false" customHeight="false" outlineLevel="0" collapsed="false">
      <c r="A89" s="22"/>
      <c r="B89" s="21"/>
      <c r="C89" s="21"/>
      <c r="D89" s="21"/>
      <c r="E89" s="23"/>
      <c r="F89" s="21"/>
      <c r="G89" s="24"/>
      <c r="H89" s="24"/>
      <c r="I89" s="25" t="n">
        <f aca="false">IFERROR(H89/G89,0)</f>
        <v>0</v>
      </c>
      <c r="J89" s="23" t="n">
        <f aca="false">IFERROR(E89*H89,0)</f>
        <v>0</v>
      </c>
      <c r="K89" s="23" t="n">
        <f aca="false">IFERROR(J89/G89,0)</f>
        <v>0</v>
      </c>
      <c r="L89" s="21" t="str">
        <f aca="false">IF(B89="","",IF(J89=MAX(SUMIFS($J$2:$J$200,$B$2:$B$200,B89,$C$2:$C$200,C89,$D$2:$D$200,"A"),SUMIFS($J$2:$J$200,$B$2:$B$200,B89,$C$2:$C$200,C89,$D$2:$D$200,"B")),"Current Winner",""))</f>
        <v/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" hidden="false" customHeight="false" outlineLevel="0" collapsed="false">
      <c r="A90" s="22"/>
      <c r="B90" s="21"/>
      <c r="C90" s="21"/>
      <c r="D90" s="21"/>
      <c r="E90" s="23"/>
      <c r="F90" s="21"/>
      <c r="G90" s="24"/>
      <c r="H90" s="24"/>
      <c r="I90" s="25" t="n">
        <f aca="false">IFERROR(H90/G90,0)</f>
        <v>0</v>
      </c>
      <c r="J90" s="23" t="n">
        <f aca="false">IFERROR(E90*H90,0)</f>
        <v>0</v>
      </c>
      <c r="K90" s="23" t="n">
        <f aca="false">IFERROR(J90/G90,0)</f>
        <v>0</v>
      </c>
      <c r="L90" s="21" t="str">
        <f aca="false">IF(B90="","",IF(J90=MAX(SUMIFS($J$2:$J$200,$B$2:$B$200,B90,$C$2:$C$200,C90,$D$2:$D$200,"A"),SUMIFS($J$2:$J$200,$B$2:$B$200,B90,$C$2:$C$200,C90,$D$2:$D$200,"B")),"Current Winner",""))</f>
        <v/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" hidden="false" customHeight="false" outlineLevel="0" collapsed="false">
      <c r="A91" s="22"/>
      <c r="B91" s="21"/>
      <c r="C91" s="21"/>
      <c r="D91" s="21"/>
      <c r="E91" s="23"/>
      <c r="F91" s="21"/>
      <c r="G91" s="24"/>
      <c r="H91" s="24"/>
      <c r="I91" s="25" t="n">
        <f aca="false">IFERROR(H91/G91,0)</f>
        <v>0</v>
      </c>
      <c r="J91" s="23" t="n">
        <f aca="false">IFERROR(E91*H91,0)</f>
        <v>0</v>
      </c>
      <c r="K91" s="23" t="n">
        <f aca="false">IFERROR(J91/G91,0)</f>
        <v>0</v>
      </c>
      <c r="L91" s="21" t="str">
        <f aca="false">IF(B91="","",IF(J91=MAX(SUMIFS($J$2:$J$200,$B$2:$B$200,B91,$C$2:$C$200,C91,$D$2:$D$200,"A"),SUMIFS($J$2:$J$200,$B$2:$B$200,B91,$C$2:$C$200,C91,$D$2:$D$200,"B")),"Current Winner",""))</f>
        <v/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" hidden="false" customHeight="false" outlineLevel="0" collapsed="false">
      <c r="A92" s="22"/>
      <c r="B92" s="21"/>
      <c r="C92" s="21"/>
      <c r="D92" s="21"/>
      <c r="E92" s="23"/>
      <c r="F92" s="21"/>
      <c r="G92" s="24"/>
      <c r="H92" s="24"/>
      <c r="I92" s="25" t="n">
        <f aca="false">IFERROR(H92/G92,0)</f>
        <v>0</v>
      </c>
      <c r="J92" s="23" t="n">
        <f aca="false">IFERROR(E92*H92,0)</f>
        <v>0</v>
      </c>
      <c r="K92" s="23" t="n">
        <f aca="false">IFERROR(J92/G92,0)</f>
        <v>0</v>
      </c>
      <c r="L92" s="21" t="str">
        <f aca="false">IF(B92="","",IF(J92=MAX(SUMIFS($J$2:$J$200,$B$2:$B$200,B92,$C$2:$C$200,C92,$D$2:$D$200,"A"),SUMIFS($J$2:$J$200,$B$2:$B$200,B92,$C$2:$C$200,C92,$D$2:$D$200,"B")),"Current Winner",""))</f>
        <v/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" hidden="false" customHeight="false" outlineLevel="0" collapsed="false">
      <c r="A93" s="22"/>
      <c r="B93" s="21"/>
      <c r="C93" s="21"/>
      <c r="D93" s="21"/>
      <c r="E93" s="23"/>
      <c r="F93" s="21"/>
      <c r="G93" s="24"/>
      <c r="H93" s="24"/>
      <c r="I93" s="25" t="n">
        <f aca="false">IFERROR(H93/G93,0)</f>
        <v>0</v>
      </c>
      <c r="J93" s="23" t="n">
        <f aca="false">IFERROR(E93*H93,0)</f>
        <v>0</v>
      </c>
      <c r="K93" s="23" t="n">
        <f aca="false">IFERROR(J93/G93,0)</f>
        <v>0</v>
      </c>
      <c r="L93" s="21" t="str">
        <f aca="false">IF(B93="","",IF(J93=MAX(SUMIFS($J$2:$J$200,$B$2:$B$200,B93,$C$2:$C$200,C93,$D$2:$D$200,"A"),SUMIFS($J$2:$J$200,$B$2:$B$200,B93,$C$2:$C$200,C93,$D$2:$D$200,"B")),"Current Winner",""))</f>
        <v/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" hidden="false" customHeight="false" outlineLevel="0" collapsed="false">
      <c r="A94" s="22"/>
      <c r="B94" s="21"/>
      <c r="C94" s="21"/>
      <c r="D94" s="21"/>
      <c r="E94" s="23"/>
      <c r="F94" s="21"/>
      <c r="G94" s="24"/>
      <c r="H94" s="24"/>
      <c r="I94" s="25" t="n">
        <f aca="false">IFERROR(H94/G94,0)</f>
        <v>0</v>
      </c>
      <c r="J94" s="23" t="n">
        <f aca="false">IFERROR(E94*H94,0)</f>
        <v>0</v>
      </c>
      <c r="K94" s="23" t="n">
        <f aca="false">IFERROR(J94/G94,0)</f>
        <v>0</v>
      </c>
      <c r="L94" s="21" t="str">
        <f aca="false">IF(B94="","",IF(J94=MAX(SUMIFS($J$2:$J$200,$B$2:$B$200,B94,$C$2:$C$200,C94,$D$2:$D$200,"A"),SUMIFS($J$2:$J$200,$B$2:$B$200,B94,$C$2:$C$200,C94,$D$2:$D$200,"B")),"Current Winner",""))</f>
        <v/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" hidden="false" customHeight="false" outlineLevel="0" collapsed="false">
      <c r="A95" s="22"/>
      <c r="B95" s="21"/>
      <c r="C95" s="21"/>
      <c r="D95" s="21"/>
      <c r="E95" s="23"/>
      <c r="F95" s="21"/>
      <c r="G95" s="24"/>
      <c r="H95" s="24"/>
      <c r="I95" s="25" t="n">
        <f aca="false">IFERROR(H95/G95,0)</f>
        <v>0</v>
      </c>
      <c r="J95" s="23" t="n">
        <f aca="false">IFERROR(E95*H95,0)</f>
        <v>0</v>
      </c>
      <c r="K95" s="23" t="n">
        <f aca="false">IFERROR(J95/G95,0)</f>
        <v>0</v>
      </c>
      <c r="L95" s="21" t="str">
        <f aca="false">IF(B95="","",IF(J95=MAX(SUMIFS($J$2:$J$200,$B$2:$B$200,B95,$C$2:$C$200,C95,$D$2:$D$200,"A"),SUMIFS($J$2:$J$200,$B$2:$B$200,B95,$C$2:$C$200,C95,$D$2:$D$200,"B")),"Current Winner",""))</f>
        <v/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" hidden="false" customHeight="false" outlineLevel="0" collapsed="false">
      <c r="A96" s="22"/>
      <c r="B96" s="21"/>
      <c r="C96" s="21"/>
      <c r="D96" s="21"/>
      <c r="E96" s="23"/>
      <c r="F96" s="21"/>
      <c r="G96" s="24"/>
      <c r="H96" s="24"/>
      <c r="I96" s="25" t="n">
        <f aca="false">IFERROR(H96/G96,0)</f>
        <v>0</v>
      </c>
      <c r="J96" s="23" t="n">
        <f aca="false">IFERROR(E96*H96,0)</f>
        <v>0</v>
      </c>
      <c r="K96" s="23" t="n">
        <f aca="false">IFERROR(J96/G96,0)</f>
        <v>0</v>
      </c>
      <c r="L96" s="21" t="str">
        <f aca="false">IF(B96="","",IF(J96=MAX(SUMIFS($J$2:$J$200,$B$2:$B$200,B96,$C$2:$C$200,C96,$D$2:$D$200,"A"),SUMIFS($J$2:$J$200,$B$2:$B$200,B96,$C$2:$C$200,C96,$D$2:$D$200,"B")),"Current Winner",""))</f>
        <v/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" hidden="false" customHeight="false" outlineLevel="0" collapsed="false">
      <c r="A97" s="22"/>
      <c r="B97" s="21"/>
      <c r="C97" s="21"/>
      <c r="D97" s="21"/>
      <c r="E97" s="23"/>
      <c r="F97" s="21"/>
      <c r="G97" s="24"/>
      <c r="H97" s="24"/>
      <c r="I97" s="25" t="n">
        <f aca="false">IFERROR(H97/G97,0)</f>
        <v>0</v>
      </c>
      <c r="J97" s="23" t="n">
        <f aca="false">IFERROR(E97*H97,0)</f>
        <v>0</v>
      </c>
      <c r="K97" s="23" t="n">
        <f aca="false">IFERROR(J97/G97,0)</f>
        <v>0</v>
      </c>
      <c r="L97" s="21" t="str">
        <f aca="false">IF(B97="","",IF(J97=MAX(SUMIFS($J$2:$J$200,$B$2:$B$200,B97,$C$2:$C$200,C97,$D$2:$D$200,"A"),SUMIFS($J$2:$J$200,$B$2:$B$200,B97,$C$2:$C$200,C97,$D$2:$D$200,"B")),"Current Winner",""))</f>
        <v/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" hidden="false" customHeight="false" outlineLevel="0" collapsed="false">
      <c r="A98" s="22"/>
      <c r="B98" s="21"/>
      <c r="C98" s="21"/>
      <c r="D98" s="21"/>
      <c r="E98" s="23"/>
      <c r="F98" s="21"/>
      <c r="G98" s="24"/>
      <c r="H98" s="24"/>
      <c r="I98" s="25" t="n">
        <f aca="false">IFERROR(H98/G98,0)</f>
        <v>0</v>
      </c>
      <c r="J98" s="23" t="n">
        <f aca="false">IFERROR(E98*H98,0)</f>
        <v>0</v>
      </c>
      <c r="K98" s="23" t="n">
        <f aca="false">IFERROR(J98/G98,0)</f>
        <v>0</v>
      </c>
      <c r="L98" s="21" t="str">
        <f aca="false">IF(B98="","",IF(J98=MAX(SUMIFS($J$2:$J$200,$B$2:$B$200,B98,$C$2:$C$200,C98,$D$2:$D$200,"A"),SUMIFS($J$2:$J$200,$B$2:$B$200,B98,$C$2:$C$200,C98,$D$2:$D$200,"B")),"Current Winner",""))</f>
        <v/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" hidden="false" customHeight="false" outlineLevel="0" collapsed="false">
      <c r="A99" s="22"/>
      <c r="B99" s="21"/>
      <c r="C99" s="21"/>
      <c r="D99" s="21"/>
      <c r="E99" s="23"/>
      <c r="F99" s="21"/>
      <c r="G99" s="24"/>
      <c r="H99" s="24"/>
      <c r="I99" s="25" t="n">
        <f aca="false">IFERROR(H99/G99,0)</f>
        <v>0</v>
      </c>
      <c r="J99" s="23" t="n">
        <f aca="false">IFERROR(E99*H99,0)</f>
        <v>0</v>
      </c>
      <c r="K99" s="23" t="n">
        <f aca="false">IFERROR(J99/G99,0)</f>
        <v>0</v>
      </c>
      <c r="L99" s="21" t="str">
        <f aca="false">IF(B99="","",IF(J99=MAX(SUMIFS($J$2:$J$200,$B$2:$B$200,B99,$C$2:$C$200,C99,$D$2:$D$200,"A"),SUMIFS($J$2:$J$200,$B$2:$B$200,B99,$C$2:$C$200,C99,$D$2:$D$200,"B")),"Current Winner",""))</f>
        <v/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" hidden="false" customHeight="false" outlineLevel="0" collapsed="false">
      <c r="A100" s="22"/>
      <c r="B100" s="21"/>
      <c r="C100" s="21"/>
      <c r="D100" s="21"/>
      <c r="E100" s="23"/>
      <c r="F100" s="21"/>
      <c r="G100" s="24"/>
      <c r="H100" s="24"/>
      <c r="I100" s="25" t="n">
        <f aca="false">IFERROR(H100/G100,0)</f>
        <v>0</v>
      </c>
      <c r="J100" s="23" t="n">
        <f aca="false">IFERROR(E100*H100,0)</f>
        <v>0</v>
      </c>
      <c r="K100" s="23" t="n">
        <f aca="false">IFERROR(J100/G100,0)</f>
        <v>0</v>
      </c>
      <c r="L100" s="21" t="str">
        <f aca="false">IF(B100="","",IF(J100=MAX(SUMIFS($J$2:$J$200,$B$2:$B$200,B100,$C$2:$C$200,C100,$D$2:$D$200,"A"),SUMIFS($J$2:$J$200,$B$2:$B$200,B100,$C$2:$C$200,C100,$D$2:$D$200,"B")),"Current Winner",""))</f>
        <v/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" hidden="false" customHeight="false" outlineLevel="0" collapsed="false">
      <c r="A101" s="22"/>
      <c r="B101" s="21"/>
      <c r="C101" s="21"/>
      <c r="D101" s="21"/>
      <c r="E101" s="23"/>
      <c r="F101" s="21"/>
      <c r="G101" s="24"/>
      <c r="H101" s="24"/>
      <c r="I101" s="25" t="n">
        <f aca="false">IFERROR(H101/G101,0)</f>
        <v>0</v>
      </c>
      <c r="J101" s="23" t="n">
        <f aca="false">IFERROR(E101*H101,0)</f>
        <v>0</v>
      </c>
      <c r="K101" s="23" t="n">
        <f aca="false">IFERROR(J101/G101,0)</f>
        <v>0</v>
      </c>
      <c r="L101" s="21" t="str">
        <f aca="false">IF(B101="","",IF(J101=MAX(SUMIFS($J$2:$J$200,$B$2:$B$200,B101,$C$2:$C$200,C101,$D$2:$D$200,"A"),SUMIFS($J$2:$J$200,$B$2:$B$200,B101,$C$2:$C$200,C101,$D$2:$D$200,"B")),"Current Winner",""))</f>
        <v/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" hidden="false" customHeight="false" outlineLevel="0" collapsed="false">
      <c r="A102" s="22"/>
      <c r="B102" s="21"/>
      <c r="C102" s="21"/>
      <c r="D102" s="21"/>
      <c r="E102" s="23"/>
      <c r="F102" s="21"/>
      <c r="G102" s="24"/>
      <c r="H102" s="24"/>
      <c r="I102" s="25" t="n">
        <f aca="false">IFERROR(H102/G102,0)</f>
        <v>0</v>
      </c>
      <c r="J102" s="23" t="n">
        <f aca="false">IFERROR(E102*H102,0)</f>
        <v>0</v>
      </c>
      <c r="K102" s="23" t="n">
        <f aca="false">IFERROR(J102/G102,0)</f>
        <v>0</v>
      </c>
      <c r="L102" s="21" t="str">
        <f aca="false">IF(B102="","",IF(J102=MAX(SUMIFS($J$2:$J$200,$B$2:$B$200,B102,$C$2:$C$200,C102,$D$2:$D$200,"A"),SUMIFS($J$2:$J$200,$B$2:$B$200,B102,$C$2:$C$200,C102,$D$2:$D$200,"B")),"Current Winner",""))</f>
        <v/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" hidden="false" customHeight="false" outlineLevel="0" collapsed="false">
      <c r="A103" s="22"/>
      <c r="B103" s="21"/>
      <c r="C103" s="21"/>
      <c r="D103" s="21"/>
      <c r="E103" s="23"/>
      <c r="F103" s="21"/>
      <c r="G103" s="24"/>
      <c r="H103" s="24"/>
      <c r="I103" s="25" t="n">
        <f aca="false">IFERROR(H103/G103,0)</f>
        <v>0</v>
      </c>
      <c r="J103" s="23" t="n">
        <f aca="false">IFERROR(E103*H103,0)</f>
        <v>0</v>
      </c>
      <c r="K103" s="23" t="n">
        <f aca="false">IFERROR(J103/G103,0)</f>
        <v>0</v>
      </c>
      <c r="L103" s="21" t="str">
        <f aca="false">IF(B103="","",IF(J103=MAX(SUMIFS($J$2:$J$200,$B$2:$B$200,B103,$C$2:$C$200,C103,$D$2:$D$200,"A"),SUMIFS($J$2:$J$200,$B$2:$B$200,B103,$C$2:$C$200,C103,$D$2:$D$200,"B")),"Current Winner",""))</f>
        <v/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" hidden="false" customHeight="false" outlineLevel="0" collapsed="false">
      <c r="A104" s="22"/>
      <c r="B104" s="21"/>
      <c r="C104" s="21"/>
      <c r="D104" s="21"/>
      <c r="E104" s="23"/>
      <c r="F104" s="21"/>
      <c r="G104" s="24"/>
      <c r="H104" s="24"/>
      <c r="I104" s="25" t="n">
        <f aca="false">IFERROR(H104/G104,0)</f>
        <v>0</v>
      </c>
      <c r="J104" s="23" t="n">
        <f aca="false">IFERROR(E104*H104,0)</f>
        <v>0</v>
      </c>
      <c r="K104" s="23" t="n">
        <f aca="false">IFERROR(J104/G104,0)</f>
        <v>0</v>
      </c>
      <c r="L104" s="21" t="str">
        <f aca="false">IF(B104="","",IF(J104=MAX(SUMIFS($J$2:$J$200,$B$2:$B$200,B104,$C$2:$C$200,C104,$D$2:$D$200,"A"),SUMIFS($J$2:$J$200,$B$2:$B$200,B104,$C$2:$C$200,C104,$D$2:$D$200,"B")),"Current Winner",""))</f>
        <v/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" hidden="false" customHeight="false" outlineLevel="0" collapsed="false">
      <c r="A105" s="22"/>
      <c r="B105" s="21"/>
      <c r="C105" s="21"/>
      <c r="D105" s="21"/>
      <c r="E105" s="23"/>
      <c r="F105" s="21"/>
      <c r="G105" s="24"/>
      <c r="H105" s="24"/>
      <c r="I105" s="25" t="n">
        <f aca="false">IFERROR(H105/G105,0)</f>
        <v>0</v>
      </c>
      <c r="J105" s="23" t="n">
        <f aca="false">IFERROR(E105*H105,0)</f>
        <v>0</v>
      </c>
      <c r="K105" s="23" t="n">
        <f aca="false">IFERROR(J105/G105,0)</f>
        <v>0</v>
      </c>
      <c r="L105" s="21" t="str">
        <f aca="false">IF(B105="","",IF(J105=MAX(SUMIFS($J$2:$J$200,$B$2:$B$200,B105,$C$2:$C$200,C105,$D$2:$D$200,"A"),SUMIFS($J$2:$J$200,$B$2:$B$200,B105,$C$2:$C$200,C105,$D$2:$D$200,"B")),"Current Winner",""))</f>
        <v/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" hidden="false" customHeight="false" outlineLevel="0" collapsed="false">
      <c r="A106" s="22"/>
      <c r="B106" s="21"/>
      <c r="C106" s="21"/>
      <c r="D106" s="21"/>
      <c r="E106" s="23"/>
      <c r="F106" s="21"/>
      <c r="G106" s="24"/>
      <c r="H106" s="24"/>
      <c r="I106" s="25" t="n">
        <f aca="false">IFERROR(H106/G106,0)</f>
        <v>0</v>
      </c>
      <c r="J106" s="23" t="n">
        <f aca="false">IFERROR(E106*H106,0)</f>
        <v>0</v>
      </c>
      <c r="K106" s="23" t="n">
        <f aca="false">IFERROR(J106/G106,0)</f>
        <v>0</v>
      </c>
      <c r="L106" s="21" t="str">
        <f aca="false">IF(B106="","",IF(J106=MAX(SUMIFS($J$2:$J$200,$B$2:$B$200,B106,$C$2:$C$200,C106,$D$2:$D$200,"A"),SUMIFS($J$2:$J$200,$B$2:$B$200,B106,$C$2:$C$200,C106,$D$2:$D$200,"B")),"Current Winner",""))</f>
        <v/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" hidden="false" customHeight="false" outlineLevel="0" collapsed="false">
      <c r="A107" s="22"/>
      <c r="B107" s="21"/>
      <c r="C107" s="21"/>
      <c r="D107" s="21"/>
      <c r="E107" s="23"/>
      <c r="F107" s="21"/>
      <c r="G107" s="24"/>
      <c r="H107" s="24"/>
      <c r="I107" s="25" t="n">
        <f aca="false">IFERROR(H107/G107,0)</f>
        <v>0</v>
      </c>
      <c r="J107" s="23" t="n">
        <f aca="false">IFERROR(E107*H107,0)</f>
        <v>0</v>
      </c>
      <c r="K107" s="23" t="n">
        <f aca="false">IFERROR(J107/G107,0)</f>
        <v>0</v>
      </c>
      <c r="L107" s="21" t="str">
        <f aca="false">IF(B107="","",IF(J107=MAX(SUMIFS($J$2:$J$200,$B$2:$B$200,B107,$C$2:$C$200,C107,$D$2:$D$200,"A"),SUMIFS($J$2:$J$200,$B$2:$B$200,B107,$C$2:$C$200,C107,$D$2:$D$200,"B")),"Current Winner",""))</f>
        <v/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" hidden="false" customHeight="false" outlineLevel="0" collapsed="false">
      <c r="A108" s="22"/>
      <c r="B108" s="21"/>
      <c r="C108" s="21"/>
      <c r="D108" s="21"/>
      <c r="E108" s="23"/>
      <c r="F108" s="21"/>
      <c r="G108" s="24"/>
      <c r="H108" s="24"/>
      <c r="I108" s="25" t="n">
        <f aca="false">IFERROR(H108/G108,0)</f>
        <v>0</v>
      </c>
      <c r="J108" s="23" t="n">
        <f aca="false">IFERROR(E108*H108,0)</f>
        <v>0</v>
      </c>
      <c r="K108" s="23" t="n">
        <f aca="false">IFERROR(J108/G108,0)</f>
        <v>0</v>
      </c>
      <c r="L108" s="21" t="str">
        <f aca="false">IF(B108="","",IF(J108=MAX(SUMIFS($J$2:$J$200,$B$2:$B$200,B108,$C$2:$C$200,C108,$D$2:$D$200,"A"),SUMIFS($J$2:$J$200,$B$2:$B$200,B108,$C$2:$C$200,C108,$D$2:$D$200,"B")),"Current Winner",""))</f>
        <v/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" hidden="false" customHeight="false" outlineLevel="0" collapsed="false">
      <c r="A109" s="22"/>
      <c r="B109" s="21"/>
      <c r="C109" s="21"/>
      <c r="D109" s="21"/>
      <c r="E109" s="23"/>
      <c r="F109" s="21"/>
      <c r="G109" s="24"/>
      <c r="H109" s="24"/>
      <c r="I109" s="25" t="n">
        <f aca="false">IFERROR(H109/G109,0)</f>
        <v>0</v>
      </c>
      <c r="J109" s="23" t="n">
        <f aca="false">IFERROR(E109*H109,0)</f>
        <v>0</v>
      </c>
      <c r="K109" s="23" t="n">
        <f aca="false">IFERROR(J109/G109,0)</f>
        <v>0</v>
      </c>
      <c r="L109" s="21" t="str">
        <f aca="false">IF(B109="","",IF(J109=MAX(SUMIFS($J$2:$J$200,$B$2:$B$200,B109,$C$2:$C$200,C109,$D$2:$D$200,"A"),SUMIFS($J$2:$J$200,$B$2:$B$200,B109,$C$2:$C$200,C109,$D$2:$D$200,"B")),"Current Winner",""))</f>
        <v/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" hidden="false" customHeight="false" outlineLevel="0" collapsed="false">
      <c r="A110" s="22"/>
      <c r="B110" s="21"/>
      <c r="C110" s="21"/>
      <c r="D110" s="21"/>
      <c r="E110" s="23"/>
      <c r="F110" s="21"/>
      <c r="G110" s="24"/>
      <c r="H110" s="24"/>
      <c r="I110" s="25" t="n">
        <f aca="false">IFERROR(H110/G110,0)</f>
        <v>0</v>
      </c>
      <c r="J110" s="23" t="n">
        <f aca="false">IFERROR(E110*H110,0)</f>
        <v>0</v>
      </c>
      <c r="K110" s="23" t="n">
        <f aca="false">IFERROR(J110/G110,0)</f>
        <v>0</v>
      </c>
      <c r="L110" s="21" t="str">
        <f aca="false">IF(B110="","",IF(J110=MAX(SUMIFS($J$2:$J$200,$B$2:$B$200,B110,$C$2:$C$200,C110,$D$2:$D$200,"A"),SUMIFS($J$2:$J$200,$B$2:$B$200,B110,$C$2:$C$200,C110,$D$2:$D$200,"B")),"Current Winner",""))</f>
        <v/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" hidden="false" customHeight="false" outlineLevel="0" collapsed="false">
      <c r="A111" s="22"/>
      <c r="B111" s="21"/>
      <c r="C111" s="21"/>
      <c r="D111" s="21"/>
      <c r="E111" s="23"/>
      <c r="F111" s="21"/>
      <c r="G111" s="24"/>
      <c r="H111" s="24"/>
      <c r="I111" s="25" t="n">
        <f aca="false">IFERROR(H111/G111,0)</f>
        <v>0</v>
      </c>
      <c r="J111" s="23" t="n">
        <f aca="false">IFERROR(E111*H111,0)</f>
        <v>0</v>
      </c>
      <c r="K111" s="23" t="n">
        <f aca="false">IFERROR(J111/G111,0)</f>
        <v>0</v>
      </c>
      <c r="L111" s="21" t="str">
        <f aca="false">IF(B111="","",IF(J111=MAX(SUMIFS($J$2:$J$200,$B$2:$B$200,B111,$C$2:$C$200,C111,$D$2:$D$200,"A"),SUMIFS($J$2:$J$200,$B$2:$B$200,B111,$C$2:$C$200,C111,$D$2:$D$200,"B")),"Current Winner",""))</f>
        <v/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" hidden="false" customHeight="false" outlineLevel="0" collapsed="false">
      <c r="A112" s="22"/>
      <c r="B112" s="21"/>
      <c r="C112" s="21"/>
      <c r="D112" s="21"/>
      <c r="E112" s="23"/>
      <c r="F112" s="21"/>
      <c r="G112" s="24"/>
      <c r="H112" s="24"/>
      <c r="I112" s="25" t="n">
        <f aca="false">IFERROR(H112/G112,0)</f>
        <v>0</v>
      </c>
      <c r="J112" s="23" t="n">
        <f aca="false">IFERROR(E112*H112,0)</f>
        <v>0</v>
      </c>
      <c r="K112" s="23" t="n">
        <f aca="false">IFERROR(J112/G112,0)</f>
        <v>0</v>
      </c>
      <c r="L112" s="21" t="str">
        <f aca="false">IF(B112="","",IF(J112=MAX(SUMIFS($J$2:$J$200,$B$2:$B$200,B112,$C$2:$C$200,C112,$D$2:$D$200,"A"),SUMIFS($J$2:$J$200,$B$2:$B$200,B112,$C$2:$C$200,C112,$D$2:$D$200,"B")),"Current Winner",""))</f>
        <v/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" hidden="false" customHeight="false" outlineLevel="0" collapsed="false">
      <c r="A113" s="22"/>
      <c r="B113" s="21"/>
      <c r="C113" s="21"/>
      <c r="D113" s="21"/>
      <c r="E113" s="23"/>
      <c r="F113" s="21"/>
      <c r="G113" s="24"/>
      <c r="H113" s="24"/>
      <c r="I113" s="25" t="n">
        <f aca="false">IFERROR(H113/G113,0)</f>
        <v>0</v>
      </c>
      <c r="J113" s="23" t="n">
        <f aca="false">IFERROR(E113*H113,0)</f>
        <v>0</v>
      </c>
      <c r="K113" s="23" t="n">
        <f aca="false">IFERROR(J113/G113,0)</f>
        <v>0</v>
      </c>
      <c r="L113" s="21" t="str">
        <f aca="false">IF(B113="","",IF(J113=MAX(SUMIFS($J$2:$J$200,$B$2:$B$200,B113,$C$2:$C$200,C113,$D$2:$D$200,"A"),SUMIFS($J$2:$J$200,$B$2:$B$200,B113,$C$2:$C$200,C113,$D$2:$D$200,"B")),"Current Winner",""))</f>
        <v/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" hidden="false" customHeight="false" outlineLevel="0" collapsed="false">
      <c r="A114" s="22"/>
      <c r="B114" s="21"/>
      <c r="C114" s="21"/>
      <c r="D114" s="21"/>
      <c r="E114" s="23"/>
      <c r="F114" s="21"/>
      <c r="G114" s="24"/>
      <c r="H114" s="24"/>
      <c r="I114" s="25" t="n">
        <f aca="false">IFERROR(H114/G114,0)</f>
        <v>0</v>
      </c>
      <c r="J114" s="23" t="n">
        <f aca="false">IFERROR(E114*H114,0)</f>
        <v>0</v>
      </c>
      <c r="K114" s="23" t="n">
        <f aca="false">IFERROR(J114/G114,0)</f>
        <v>0</v>
      </c>
      <c r="L114" s="21" t="str">
        <f aca="false">IF(B114="","",IF(J114=MAX(SUMIFS($J$2:$J$200,$B$2:$B$200,B114,$C$2:$C$200,C114,$D$2:$D$200,"A"),SUMIFS($J$2:$J$200,$B$2:$B$200,B114,$C$2:$C$200,C114,$D$2:$D$200,"B")),"Current Winner",""))</f>
        <v/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" hidden="false" customHeight="false" outlineLevel="0" collapsed="false">
      <c r="A115" s="22"/>
      <c r="B115" s="21"/>
      <c r="C115" s="21"/>
      <c r="D115" s="21"/>
      <c r="E115" s="23"/>
      <c r="F115" s="21"/>
      <c r="G115" s="24"/>
      <c r="H115" s="24"/>
      <c r="I115" s="25" t="n">
        <f aca="false">IFERROR(H115/G115,0)</f>
        <v>0</v>
      </c>
      <c r="J115" s="23" t="n">
        <f aca="false">IFERROR(E115*H115,0)</f>
        <v>0</v>
      </c>
      <c r="K115" s="23" t="n">
        <f aca="false">IFERROR(J115/G115,0)</f>
        <v>0</v>
      </c>
      <c r="L115" s="21" t="str">
        <f aca="false">IF(B115="","",IF(J115=MAX(SUMIFS($J$2:$J$200,$B$2:$B$200,B115,$C$2:$C$200,C115,$D$2:$D$200,"A"),SUMIFS($J$2:$J$200,$B$2:$B$200,B115,$C$2:$C$200,C115,$D$2:$D$200,"B")),"Current Winner",""))</f>
        <v/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" hidden="false" customHeight="false" outlineLevel="0" collapsed="false">
      <c r="A116" s="22"/>
      <c r="B116" s="21"/>
      <c r="C116" s="21"/>
      <c r="D116" s="21"/>
      <c r="E116" s="23"/>
      <c r="F116" s="21"/>
      <c r="G116" s="24"/>
      <c r="H116" s="24"/>
      <c r="I116" s="25" t="n">
        <f aca="false">IFERROR(H116/G116,0)</f>
        <v>0</v>
      </c>
      <c r="J116" s="23" t="n">
        <f aca="false">IFERROR(E116*H116,0)</f>
        <v>0</v>
      </c>
      <c r="K116" s="23" t="n">
        <f aca="false">IFERROR(J116/G116,0)</f>
        <v>0</v>
      </c>
      <c r="L116" s="21" t="str">
        <f aca="false">IF(B116="","",IF(J116=MAX(SUMIFS($J$2:$J$200,$B$2:$B$200,B116,$C$2:$C$200,C116,$D$2:$D$200,"A"),SUMIFS($J$2:$J$200,$B$2:$B$200,B116,$C$2:$C$200,C116,$D$2:$D$200,"B")),"Current Winner",""))</f>
        <v/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" hidden="false" customHeight="false" outlineLevel="0" collapsed="false">
      <c r="A117" s="22"/>
      <c r="B117" s="21"/>
      <c r="C117" s="21"/>
      <c r="D117" s="21"/>
      <c r="E117" s="23"/>
      <c r="F117" s="21"/>
      <c r="G117" s="24"/>
      <c r="H117" s="24"/>
      <c r="I117" s="25" t="n">
        <f aca="false">IFERROR(H117/G117,0)</f>
        <v>0</v>
      </c>
      <c r="J117" s="23" t="n">
        <f aca="false">IFERROR(E117*H117,0)</f>
        <v>0</v>
      </c>
      <c r="K117" s="23" t="n">
        <f aca="false">IFERROR(J117/G117,0)</f>
        <v>0</v>
      </c>
      <c r="L117" s="21" t="str">
        <f aca="false">IF(B117="","",IF(J117=MAX(SUMIFS($J$2:$J$200,$B$2:$B$200,B117,$C$2:$C$200,C117,$D$2:$D$200,"A"),SUMIFS($J$2:$J$200,$B$2:$B$200,B117,$C$2:$C$200,C117,$D$2:$D$200,"B")),"Current Winner",""))</f>
        <v/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" hidden="false" customHeight="false" outlineLevel="0" collapsed="false">
      <c r="A118" s="22"/>
      <c r="B118" s="21"/>
      <c r="C118" s="21"/>
      <c r="D118" s="21"/>
      <c r="E118" s="23"/>
      <c r="F118" s="21"/>
      <c r="G118" s="24"/>
      <c r="H118" s="24"/>
      <c r="I118" s="25" t="n">
        <f aca="false">IFERROR(H118/G118,0)</f>
        <v>0</v>
      </c>
      <c r="J118" s="23" t="n">
        <f aca="false">IFERROR(E118*H118,0)</f>
        <v>0</v>
      </c>
      <c r="K118" s="23" t="n">
        <f aca="false">IFERROR(J118/G118,0)</f>
        <v>0</v>
      </c>
      <c r="L118" s="21" t="str">
        <f aca="false">IF(B118="","",IF(J118=MAX(SUMIFS($J$2:$J$200,$B$2:$B$200,B118,$C$2:$C$200,C118,$D$2:$D$200,"A"),SUMIFS($J$2:$J$200,$B$2:$B$200,B118,$C$2:$C$200,C118,$D$2:$D$200,"B")),"Current Winner",""))</f>
        <v/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" hidden="false" customHeight="false" outlineLevel="0" collapsed="false">
      <c r="A119" s="22"/>
      <c r="B119" s="21"/>
      <c r="C119" s="21"/>
      <c r="D119" s="21"/>
      <c r="E119" s="23"/>
      <c r="F119" s="21"/>
      <c r="G119" s="24"/>
      <c r="H119" s="24"/>
      <c r="I119" s="25" t="n">
        <f aca="false">IFERROR(H119/G119,0)</f>
        <v>0</v>
      </c>
      <c r="J119" s="23" t="n">
        <f aca="false">IFERROR(E119*H119,0)</f>
        <v>0</v>
      </c>
      <c r="K119" s="23" t="n">
        <f aca="false">IFERROR(J119/G119,0)</f>
        <v>0</v>
      </c>
      <c r="L119" s="21" t="str">
        <f aca="false">IF(B119="","",IF(J119=MAX(SUMIFS($J$2:$J$200,$B$2:$B$200,B119,$C$2:$C$200,C119,$D$2:$D$200,"A"),SUMIFS($J$2:$J$200,$B$2:$B$200,B119,$C$2:$C$200,C119,$D$2:$D$200,"B")),"Current Winner",""))</f>
        <v/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" hidden="false" customHeight="false" outlineLevel="0" collapsed="false">
      <c r="A120" s="22"/>
      <c r="B120" s="21"/>
      <c r="C120" s="21"/>
      <c r="D120" s="21"/>
      <c r="E120" s="23"/>
      <c r="F120" s="21"/>
      <c r="G120" s="24"/>
      <c r="H120" s="24"/>
      <c r="I120" s="25" t="n">
        <f aca="false">IFERROR(H120/G120,0)</f>
        <v>0</v>
      </c>
      <c r="J120" s="23" t="n">
        <f aca="false">IFERROR(E120*H120,0)</f>
        <v>0</v>
      </c>
      <c r="K120" s="23" t="n">
        <f aca="false">IFERROR(J120/G120,0)</f>
        <v>0</v>
      </c>
      <c r="L120" s="21" t="str">
        <f aca="false">IF(B120="","",IF(J120=MAX(SUMIFS($J$2:$J$200,$B$2:$B$200,B120,$C$2:$C$200,C120,$D$2:$D$200,"A"),SUMIFS($J$2:$J$200,$B$2:$B$200,B120,$C$2:$C$200,C120,$D$2:$D$200,"B")),"Current Winner",""))</f>
        <v/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" hidden="false" customHeight="false" outlineLevel="0" collapsed="false">
      <c r="A121" s="22"/>
      <c r="B121" s="21"/>
      <c r="C121" s="21"/>
      <c r="D121" s="21"/>
      <c r="E121" s="23"/>
      <c r="F121" s="21"/>
      <c r="G121" s="24"/>
      <c r="H121" s="24"/>
      <c r="I121" s="25" t="n">
        <f aca="false">IFERROR(H121/G121,0)</f>
        <v>0</v>
      </c>
      <c r="J121" s="23" t="n">
        <f aca="false">IFERROR(E121*H121,0)</f>
        <v>0</v>
      </c>
      <c r="K121" s="23" t="n">
        <f aca="false">IFERROR(J121/G121,0)</f>
        <v>0</v>
      </c>
      <c r="L121" s="21" t="str">
        <f aca="false">IF(B121="","",IF(J121=MAX(SUMIFS($J$2:$J$200,$B$2:$B$200,B121,$C$2:$C$200,C121,$D$2:$D$200,"A"),SUMIFS($J$2:$J$200,$B$2:$B$200,B121,$C$2:$C$200,C121,$D$2:$D$200,"B")),"Current Winner",""))</f>
        <v/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" hidden="false" customHeight="false" outlineLevel="0" collapsed="false">
      <c r="A122" s="22"/>
      <c r="B122" s="21"/>
      <c r="C122" s="21"/>
      <c r="D122" s="21"/>
      <c r="E122" s="23"/>
      <c r="F122" s="21"/>
      <c r="G122" s="24"/>
      <c r="H122" s="24"/>
      <c r="I122" s="25" t="n">
        <f aca="false">IFERROR(H122/G122,0)</f>
        <v>0</v>
      </c>
      <c r="J122" s="23" t="n">
        <f aca="false">IFERROR(E122*H122,0)</f>
        <v>0</v>
      </c>
      <c r="K122" s="23" t="n">
        <f aca="false">IFERROR(J122/G122,0)</f>
        <v>0</v>
      </c>
      <c r="L122" s="21" t="str">
        <f aca="false">IF(B122="","",IF(J122=MAX(SUMIFS($J$2:$J$200,$B$2:$B$200,B122,$C$2:$C$200,C122,$D$2:$D$200,"A"),SUMIFS($J$2:$J$200,$B$2:$B$200,B122,$C$2:$C$200,C122,$D$2:$D$200,"B")),"Current Winner",""))</f>
        <v/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" hidden="false" customHeight="false" outlineLevel="0" collapsed="false">
      <c r="A123" s="22"/>
      <c r="B123" s="21"/>
      <c r="C123" s="21"/>
      <c r="D123" s="21"/>
      <c r="E123" s="23"/>
      <c r="F123" s="21"/>
      <c r="G123" s="24"/>
      <c r="H123" s="24"/>
      <c r="I123" s="25" t="n">
        <f aca="false">IFERROR(H123/G123,0)</f>
        <v>0</v>
      </c>
      <c r="J123" s="23" t="n">
        <f aca="false">IFERROR(E123*H123,0)</f>
        <v>0</v>
      </c>
      <c r="K123" s="23" t="n">
        <f aca="false">IFERROR(J123/G123,0)</f>
        <v>0</v>
      </c>
      <c r="L123" s="21" t="str">
        <f aca="false">IF(B123="","",IF(J123=MAX(SUMIFS($J$2:$J$200,$B$2:$B$200,B123,$C$2:$C$200,C123,$D$2:$D$200,"A"),SUMIFS($J$2:$J$200,$B$2:$B$200,B123,$C$2:$C$200,C123,$D$2:$D$200,"B")),"Current Winner",""))</f>
        <v/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" hidden="false" customHeight="false" outlineLevel="0" collapsed="false">
      <c r="A124" s="22"/>
      <c r="B124" s="21"/>
      <c r="C124" s="21"/>
      <c r="D124" s="21"/>
      <c r="E124" s="23"/>
      <c r="F124" s="21"/>
      <c r="G124" s="24"/>
      <c r="H124" s="24"/>
      <c r="I124" s="25" t="n">
        <f aca="false">IFERROR(H124/G124,0)</f>
        <v>0</v>
      </c>
      <c r="J124" s="23" t="n">
        <f aca="false">IFERROR(E124*H124,0)</f>
        <v>0</v>
      </c>
      <c r="K124" s="23" t="n">
        <f aca="false">IFERROR(J124/G124,0)</f>
        <v>0</v>
      </c>
      <c r="L124" s="21" t="str">
        <f aca="false">IF(B124="","",IF(J124=MAX(SUMIFS($J$2:$J$200,$B$2:$B$200,B124,$C$2:$C$200,C124,$D$2:$D$200,"A"),SUMIFS($J$2:$J$200,$B$2:$B$200,B124,$C$2:$C$200,C124,$D$2:$D$200,"B")),"Current Winner",""))</f>
        <v/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" hidden="false" customHeight="false" outlineLevel="0" collapsed="false">
      <c r="A125" s="22"/>
      <c r="B125" s="21"/>
      <c r="C125" s="21"/>
      <c r="D125" s="21"/>
      <c r="E125" s="23"/>
      <c r="F125" s="21"/>
      <c r="G125" s="24"/>
      <c r="H125" s="24"/>
      <c r="I125" s="25" t="n">
        <f aca="false">IFERROR(H125/G125,0)</f>
        <v>0</v>
      </c>
      <c r="J125" s="23" t="n">
        <f aca="false">IFERROR(E125*H125,0)</f>
        <v>0</v>
      </c>
      <c r="K125" s="23" t="n">
        <f aca="false">IFERROR(J125/G125,0)</f>
        <v>0</v>
      </c>
      <c r="L125" s="21" t="str">
        <f aca="false">IF(B125="","",IF(J125=MAX(SUMIFS($J$2:$J$200,$B$2:$B$200,B125,$C$2:$C$200,C125,$D$2:$D$200,"A"),SUMIFS($J$2:$J$200,$B$2:$B$200,B125,$C$2:$C$200,C125,$D$2:$D$200,"B")),"Current Winner",""))</f>
        <v/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" hidden="false" customHeight="false" outlineLevel="0" collapsed="false">
      <c r="A126" s="22"/>
      <c r="B126" s="21"/>
      <c r="C126" s="21"/>
      <c r="D126" s="21"/>
      <c r="E126" s="23"/>
      <c r="F126" s="21"/>
      <c r="G126" s="24"/>
      <c r="H126" s="24"/>
      <c r="I126" s="25" t="n">
        <f aca="false">IFERROR(H126/G126,0)</f>
        <v>0</v>
      </c>
      <c r="J126" s="23" t="n">
        <f aca="false">IFERROR(E126*H126,0)</f>
        <v>0</v>
      </c>
      <c r="K126" s="23" t="n">
        <f aca="false">IFERROR(J126/G126,0)</f>
        <v>0</v>
      </c>
      <c r="L126" s="21" t="str">
        <f aca="false">IF(B126="","",IF(J126=MAX(SUMIFS($J$2:$J$200,$B$2:$B$200,B126,$C$2:$C$200,C126,$D$2:$D$200,"A"),SUMIFS($J$2:$J$200,$B$2:$B$200,B126,$C$2:$C$200,C126,$D$2:$D$200,"B")),"Current Winner",""))</f>
        <v/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" hidden="false" customHeight="false" outlineLevel="0" collapsed="false">
      <c r="A127" s="22"/>
      <c r="B127" s="21"/>
      <c r="C127" s="21"/>
      <c r="D127" s="21"/>
      <c r="E127" s="23"/>
      <c r="F127" s="21"/>
      <c r="G127" s="24"/>
      <c r="H127" s="24"/>
      <c r="I127" s="25" t="n">
        <f aca="false">IFERROR(H127/G127,0)</f>
        <v>0</v>
      </c>
      <c r="J127" s="23" t="n">
        <f aca="false">IFERROR(E127*H127,0)</f>
        <v>0</v>
      </c>
      <c r="K127" s="23" t="n">
        <f aca="false">IFERROR(J127/G127,0)</f>
        <v>0</v>
      </c>
      <c r="L127" s="21" t="str">
        <f aca="false">IF(B127="","",IF(J127=MAX(SUMIFS($J$2:$J$200,$B$2:$B$200,B127,$C$2:$C$200,C127,$D$2:$D$200,"A"),SUMIFS($J$2:$J$200,$B$2:$B$200,B127,$C$2:$C$200,C127,$D$2:$D$200,"B")),"Current Winner",""))</f>
        <v/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" hidden="false" customHeight="false" outlineLevel="0" collapsed="false">
      <c r="A128" s="22"/>
      <c r="B128" s="21"/>
      <c r="C128" s="21"/>
      <c r="D128" s="21"/>
      <c r="E128" s="23"/>
      <c r="F128" s="21"/>
      <c r="G128" s="24"/>
      <c r="H128" s="24"/>
      <c r="I128" s="25" t="n">
        <f aca="false">IFERROR(H128/G128,0)</f>
        <v>0</v>
      </c>
      <c r="J128" s="23" t="n">
        <f aca="false">IFERROR(E128*H128,0)</f>
        <v>0</v>
      </c>
      <c r="K128" s="23" t="n">
        <f aca="false">IFERROR(J128/G128,0)</f>
        <v>0</v>
      </c>
      <c r="L128" s="21" t="str">
        <f aca="false">IF(B128="","",IF(J128=MAX(SUMIFS($J$2:$J$200,$B$2:$B$200,B128,$C$2:$C$200,C128,$D$2:$D$200,"A"),SUMIFS($J$2:$J$200,$B$2:$B$200,B128,$C$2:$C$200,C128,$D$2:$D$200,"B")),"Current Winner",""))</f>
        <v/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" hidden="false" customHeight="false" outlineLevel="0" collapsed="false">
      <c r="A129" s="22"/>
      <c r="B129" s="21"/>
      <c r="C129" s="21"/>
      <c r="D129" s="21"/>
      <c r="E129" s="23"/>
      <c r="F129" s="21"/>
      <c r="G129" s="24"/>
      <c r="H129" s="24"/>
      <c r="I129" s="25" t="n">
        <f aca="false">IFERROR(H129/G129,0)</f>
        <v>0</v>
      </c>
      <c r="J129" s="23" t="n">
        <f aca="false">IFERROR(E129*H129,0)</f>
        <v>0</v>
      </c>
      <c r="K129" s="23" t="n">
        <f aca="false">IFERROR(J129/G129,0)</f>
        <v>0</v>
      </c>
      <c r="L129" s="21" t="str">
        <f aca="false">IF(B129="","",IF(J129=MAX(SUMIFS($J$2:$J$200,$B$2:$B$200,B129,$C$2:$C$200,C129,$D$2:$D$200,"A"),SUMIFS($J$2:$J$200,$B$2:$B$200,B129,$C$2:$C$200,C129,$D$2:$D$200,"B")),"Current Winner",""))</f>
        <v/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" hidden="false" customHeight="false" outlineLevel="0" collapsed="false">
      <c r="A130" s="22"/>
      <c r="B130" s="21"/>
      <c r="C130" s="21"/>
      <c r="D130" s="21"/>
      <c r="E130" s="23"/>
      <c r="F130" s="21"/>
      <c r="G130" s="24"/>
      <c r="H130" s="24"/>
      <c r="I130" s="25" t="n">
        <f aca="false">IFERROR(H130/G130,0)</f>
        <v>0</v>
      </c>
      <c r="J130" s="23" t="n">
        <f aca="false">IFERROR(E130*H130,0)</f>
        <v>0</v>
      </c>
      <c r="K130" s="23" t="n">
        <f aca="false">IFERROR(J130/G130,0)</f>
        <v>0</v>
      </c>
      <c r="L130" s="21" t="str">
        <f aca="false">IF(B130="","",IF(J130=MAX(SUMIFS($J$2:$J$200,$B$2:$B$200,B130,$C$2:$C$200,C130,$D$2:$D$200,"A"),SUMIFS($J$2:$J$200,$B$2:$B$200,B130,$C$2:$C$200,C130,$D$2:$D$200,"B")),"Current Winner",""))</f>
        <v/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" hidden="false" customHeight="false" outlineLevel="0" collapsed="false">
      <c r="A131" s="22"/>
      <c r="B131" s="21"/>
      <c r="C131" s="21"/>
      <c r="D131" s="21"/>
      <c r="E131" s="23"/>
      <c r="F131" s="21"/>
      <c r="G131" s="24"/>
      <c r="H131" s="24"/>
      <c r="I131" s="25" t="n">
        <f aca="false">IFERROR(H131/G131,0)</f>
        <v>0</v>
      </c>
      <c r="J131" s="23" t="n">
        <f aca="false">IFERROR(E131*H131,0)</f>
        <v>0</v>
      </c>
      <c r="K131" s="23" t="n">
        <f aca="false">IFERROR(J131/G131,0)</f>
        <v>0</v>
      </c>
      <c r="L131" s="21" t="str">
        <f aca="false">IF(B131="","",IF(J131=MAX(SUMIFS($J$2:$J$200,$B$2:$B$200,B131,$C$2:$C$200,C131,$D$2:$D$200,"A"),SUMIFS($J$2:$J$200,$B$2:$B$200,B131,$C$2:$C$200,C131,$D$2:$D$200,"B")),"Current Winner",""))</f>
        <v/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" hidden="false" customHeight="false" outlineLevel="0" collapsed="false">
      <c r="A132" s="22"/>
      <c r="B132" s="21"/>
      <c r="C132" s="21"/>
      <c r="D132" s="21"/>
      <c r="E132" s="23"/>
      <c r="F132" s="21"/>
      <c r="G132" s="24"/>
      <c r="H132" s="24"/>
      <c r="I132" s="25" t="n">
        <f aca="false">IFERROR(H132/G132,0)</f>
        <v>0</v>
      </c>
      <c r="J132" s="23" t="n">
        <f aca="false">IFERROR(E132*H132,0)</f>
        <v>0</v>
      </c>
      <c r="K132" s="23" t="n">
        <f aca="false">IFERROR(J132/G132,0)</f>
        <v>0</v>
      </c>
      <c r="L132" s="21" t="str">
        <f aca="false">IF(B132="","",IF(J132=MAX(SUMIFS($J$2:$J$200,$B$2:$B$200,B132,$C$2:$C$200,C132,$D$2:$D$200,"A"),SUMIFS($J$2:$J$200,$B$2:$B$200,B132,$C$2:$C$200,C132,$D$2:$D$200,"B")),"Current Winner",""))</f>
        <v/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" hidden="false" customHeight="false" outlineLevel="0" collapsed="false">
      <c r="A133" s="22"/>
      <c r="B133" s="21"/>
      <c r="C133" s="21"/>
      <c r="D133" s="21"/>
      <c r="E133" s="23"/>
      <c r="F133" s="21"/>
      <c r="G133" s="24"/>
      <c r="H133" s="24"/>
      <c r="I133" s="25" t="n">
        <f aca="false">IFERROR(H133/G133,0)</f>
        <v>0</v>
      </c>
      <c r="J133" s="23" t="n">
        <f aca="false">IFERROR(E133*H133,0)</f>
        <v>0</v>
      </c>
      <c r="K133" s="23" t="n">
        <f aca="false">IFERROR(J133/G133,0)</f>
        <v>0</v>
      </c>
      <c r="L133" s="21" t="str">
        <f aca="false">IF(B133="","",IF(J133=MAX(SUMIFS($J$2:$J$200,$B$2:$B$200,B133,$C$2:$C$200,C133,$D$2:$D$200,"A"),SUMIFS($J$2:$J$200,$B$2:$B$200,B133,$C$2:$C$200,C133,$D$2:$D$200,"B")),"Current Winner",""))</f>
        <v/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" hidden="false" customHeight="false" outlineLevel="0" collapsed="false">
      <c r="A134" s="22"/>
      <c r="B134" s="21"/>
      <c r="C134" s="21"/>
      <c r="D134" s="21"/>
      <c r="E134" s="23"/>
      <c r="F134" s="21"/>
      <c r="G134" s="24"/>
      <c r="H134" s="24"/>
      <c r="I134" s="25" t="n">
        <f aca="false">IFERROR(H134/G134,0)</f>
        <v>0</v>
      </c>
      <c r="J134" s="23" t="n">
        <f aca="false">IFERROR(E134*H134,0)</f>
        <v>0</v>
      </c>
      <c r="K134" s="23" t="n">
        <f aca="false">IFERROR(J134/G134,0)</f>
        <v>0</v>
      </c>
      <c r="L134" s="21" t="str">
        <f aca="false">IF(B134="","",IF(J134=MAX(SUMIFS($J$2:$J$200,$B$2:$B$200,B134,$C$2:$C$200,C134,$D$2:$D$200,"A"),SUMIFS($J$2:$J$200,$B$2:$B$200,B134,$C$2:$C$200,C134,$D$2:$D$200,"B")),"Current Winner",""))</f>
        <v/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" hidden="false" customHeight="false" outlineLevel="0" collapsed="false">
      <c r="A135" s="22"/>
      <c r="B135" s="21"/>
      <c r="C135" s="21"/>
      <c r="D135" s="21"/>
      <c r="E135" s="23"/>
      <c r="F135" s="21"/>
      <c r="G135" s="24"/>
      <c r="H135" s="24"/>
      <c r="I135" s="25" t="n">
        <f aca="false">IFERROR(H135/G135,0)</f>
        <v>0</v>
      </c>
      <c r="J135" s="23" t="n">
        <f aca="false">IFERROR(E135*H135,0)</f>
        <v>0</v>
      </c>
      <c r="K135" s="23" t="n">
        <f aca="false">IFERROR(J135/G135,0)</f>
        <v>0</v>
      </c>
      <c r="L135" s="21" t="str">
        <f aca="false">IF(B135="","",IF(J135=MAX(SUMIFS($J$2:$J$200,$B$2:$B$200,B135,$C$2:$C$200,C135,$D$2:$D$200,"A"),SUMIFS($J$2:$J$200,$B$2:$B$200,B135,$C$2:$C$200,C135,$D$2:$D$200,"B")),"Current Winner",""))</f>
        <v/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" hidden="false" customHeight="false" outlineLevel="0" collapsed="false">
      <c r="A136" s="22"/>
      <c r="B136" s="21"/>
      <c r="C136" s="21"/>
      <c r="D136" s="21"/>
      <c r="E136" s="23"/>
      <c r="F136" s="21"/>
      <c r="G136" s="24"/>
      <c r="H136" s="24"/>
      <c r="I136" s="25" t="n">
        <f aca="false">IFERROR(H136/G136,0)</f>
        <v>0</v>
      </c>
      <c r="J136" s="23" t="n">
        <f aca="false">IFERROR(E136*H136,0)</f>
        <v>0</v>
      </c>
      <c r="K136" s="23" t="n">
        <f aca="false">IFERROR(J136/G136,0)</f>
        <v>0</v>
      </c>
      <c r="L136" s="21" t="str">
        <f aca="false">IF(B136="","",IF(J136=MAX(SUMIFS($J$2:$J$200,$B$2:$B$200,B136,$C$2:$C$200,C136,$D$2:$D$200,"A"),SUMIFS($J$2:$J$200,$B$2:$B$200,B136,$C$2:$C$200,C136,$D$2:$D$200,"B")),"Current Winner",""))</f>
        <v/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" hidden="false" customHeight="false" outlineLevel="0" collapsed="false">
      <c r="A137" s="22"/>
      <c r="B137" s="21"/>
      <c r="C137" s="21"/>
      <c r="D137" s="21"/>
      <c r="E137" s="23"/>
      <c r="F137" s="21"/>
      <c r="G137" s="24"/>
      <c r="H137" s="24"/>
      <c r="I137" s="25" t="n">
        <f aca="false">IFERROR(H137/G137,0)</f>
        <v>0</v>
      </c>
      <c r="J137" s="23" t="n">
        <f aca="false">IFERROR(E137*H137,0)</f>
        <v>0</v>
      </c>
      <c r="K137" s="23" t="n">
        <f aca="false">IFERROR(J137/G137,0)</f>
        <v>0</v>
      </c>
      <c r="L137" s="21" t="str">
        <f aca="false">IF(B137="","",IF(J137=MAX(SUMIFS($J$2:$J$200,$B$2:$B$200,B137,$C$2:$C$200,C137,$D$2:$D$200,"A"),SUMIFS($J$2:$J$200,$B$2:$B$200,B137,$C$2:$C$200,C137,$D$2:$D$200,"B")),"Current Winner",""))</f>
        <v/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" hidden="false" customHeight="false" outlineLevel="0" collapsed="false">
      <c r="A138" s="22"/>
      <c r="B138" s="21"/>
      <c r="C138" s="21"/>
      <c r="D138" s="21"/>
      <c r="E138" s="23"/>
      <c r="F138" s="21"/>
      <c r="G138" s="24"/>
      <c r="H138" s="24"/>
      <c r="I138" s="25" t="n">
        <f aca="false">IFERROR(H138/G138,0)</f>
        <v>0</v>
      </c>
      <c r="J138" s="23" t="n">
        <f aca="false">IFERROR(E138*H138,0)</f>
        <v>0</v>
      </c>
      <c r="K138" s="23" t="n">
        <f aca="false">IFERROR(J138/G138,0)</f>
        <v>0</v>
      </c>
      <c r="L138" s="21" t="str">
        <f aca="false">IF(B138="","",IF(J138=MAX(SUMIFS($J$2:$J$200,$B$2:$B$200,B138,$C$2:$C$200,C138,$D$2:$D$200,"A"),SUMIFS($J$2:$J$200,$B$2:$B$200,B138,$C$2:$C$200,C138,$D$2:$D$200,"B")),"Current Winner",""))</f>
        <v/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" hidden="false" customHeight="false" outlineLevel="0" collapsed="false">
      <c r="A139" s="22"/>
      <c r="B139" s="21"/>
      <c r="C139" s="21"/>
      <c r="D139" s="21"/>
      <c r="E139" s="23"/>
      <c r="F139" s="21"/>
      <c r="G139" s="24"/>
      <c r="H139" s="24"/>
      <c r="I139" s="25" t="n">
        <f aca="false">IFERROR(H139/G139,0)</f>
        <v>0</v>
      </c>
      <c r="J139" s="23" t="n">
        <f aca="false">IFERROR(E139*H139,0)</f>
        <v>0</v>
      </c>
      <c r="K139" s="23" t="n">
        <f aca="false">IFERROR(J139/G139,0)</f>
        <v>0</v>
      </c>
      <c r="L139" s="21" t="str">
        <f aca="false">IF(B139="","",IF(J139=MAX(SUMIFS($J$2:$J$200,$B$2:$B$200,B139,$C$2:$C$200,C139,$D$2:$D$200,"A"),SUMIFS($J$2:$J$200,$B$2:$B$200,B139,$C$2:$C$200,C139,$D$2:$D$200,"B")),"Current Winner",""))</f>
        <v/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" hidden="false" customHeight="false" outlineLevel="0" collapsed="false">
      <c r="A140" s="22"/>
      <c r="B140" s="21"/>
      <c r="C140" s="21"/>
      <c r="D140" s="21"/>
      <c r="E140" s="23"/>
      <c r="F140" s="21"/>
      <c r="G140" s="24"/>
      <c r="H140" s="24"/>
      <c r="I140" s="25" t="n">
        <f aca="false">IFERROR(H140/G140,0)</f>
        <v>0</v>
      </c>
      <c r="J140" s="23" t="n">
        <f aca="false">IFERROR(E140*H140,0)</f>
        <v>0</v>
      </c>
      <c r="K140" s="23" t="n">
        <f aca="false">IFERROR(J140/G140,0)</f>
        <v>0</v>
      </c>
      <c r="L140" s="21" t="str">
        <f aca="false">IF(B140="","",IF(J140=MAX(SUMIFS($J$2:$J$200,$B$2:$B$200,B140,$C$2:$C$200,C140,$D$2:$D$200,"A"),SUMIFS($J$2:$J$200,$B$2:$B$200,B140,$C$2:$C$200,C140,$D$2:$D$200,"B")),"Current Winner",""))</f>
        <v/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" hidden="false" customHeight="false" outlineLevel="0" collapsed="false">
      <c r="A141" s="22"/>
      <c r="B141" s="21"/>
      <c r="C141" s="21"/>
      <c r="D141" s="21"/>
      <c r="E141" s="23"/>
      <c r="F141" s="21"/>
      <c r="G141" s="24"/>
      <c r="H141" s="24"/>
      <c r="I141" s="25" t="n">
        <f aca="false">IFERROR(H141/G141,0)</f>
        <v>0</v>
      </c>
      <c r="J141" s="23" t="n">
        <f aca="false">IFERROR(E141*H141,0)</f>
        <v>0</v>
      </c>
      <c r="K141" s="23" t="n">
        <f aca="false">IFERROR(J141/G141,0)</f>
        <v>0</v>
      </c>
      <c r="L141" s="21" t="str">
        <f aca="false">IF(B141="","",IF(J141=MAX(SUMIFS($J$2:$J$200,$B$2:$B$200,B141,$C$2:$C$200,C141,$D$2:$D$200,"A"),SUMIFS($J$2:$J$200,$B$2:$B$200,B141,$C$2:$C$200,C141,$D$2:$D$200,"B")),"Current Winner",""))</f>
        <v/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" hidden="false" customHeight="false" outlineLevel="0" collapsed="false">
      <c r="A142" s="22"/>
      <c r="B142" s="21"/>
      <c r="C142" s="21"/>
      <c r="D142" s="21"/>
      <c r="E142" s="23"/>
      <c r="F142" s="21"/>
      <c r="G142" s="24"/>
      <c r="H142" s="24"/>
      <c r="I142" s="25" t="n">
        <f aca="false">IFERROR(H142/G142,0)</f>
        <v>0</v>
      </c>
      <c r="J142" s="23" t="n">
        <f aca="false">IFERROR(E142*H142,0)</f>
        <v>0</v>
      </c>
      <c r="K142" s="23" t="n">
        <f aca="false">IFERROR(J142/G142,0)</f>
        <v>0</v>
      </c>
      <c r="L142" s="21" t="str">
        <f aca="false">IF(B142="","",IF(J142=MAX(SUMIFS($J$2:$J$200,$B$2:$B$200,B142,$C$2:$C$200,C142,$D$2:$D$200,"A"),SUMIFS($J$2:$J$200,$B$2:$B$200,B142,$C$2:$C$200,C142,$D$2:$D$200,"B")),"Current Winner",""))</f>
        <v/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" hidden="false" customHeight="false" outlineLevel="0" collapsed="false">
      <c r="A143" s="22"/>
      <c r="B143" s="21"/>
      <c r="C143" s="21"/>
      <c r="D143" s="21"/>
      <c r="E143" s="23"/>
      <c r="F143" s="21"/>
      <c r="G143" s="24"/>
      <c r="H143" s="24"/>
      <c r="I143" s="25" t="n">
        <f aca="false">IFERROR(H143/G143,0)</f>
        <v>0</v>
      </c>
      <c r="J143" s="23" t="n">
        <f aca="false">IFERROR(E143*H143,0)</f>
        <v>0</v>
      </c>
      <c r="K143" s="23" t="n">
        <f aca="false">IFERROR(J143/G143,0)</f>
        <v>0</v>
      </c>
      <c r="L143" s="21" t="str">
        <f aca="false">IF(B143="","",IF(J143=MAX(SUMIFS($J$2:$J$200,$B$2:$B$200,B143,$C$2:$C$200,C143,$D$2:$D$200,"A"),SUMIFS($J$2:$J$200,$B$2:$B$200,B143,$C$2:$C$200,C143,$D$2:$D$200,"B")),"Current Winner",""))</f>
        <v/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" hidden="false" customHeight="false" outlineLevel="0" collapsed="false">
      <c r="A144" s="22"/>
      <c r="B144" s="21"/>
      <c r="C144" s="21"/>
      <c r="D144" s="21"/>
      <c r="E144" s="23"/>
      <c r="F144" s="21"/>
      <c r="G144" s="24"/>
      <c r="H144" s="24"/>
      <c r="I144" s="25" t="n">
        <f aca="false">IFERROR(H144/G144,0)</f>
        <v>0</v>
      </c>
      <c r="J144" s="23" t="n">
        <f aca="false">IFERROR(E144*H144,0)</f>
        <v>0</v>
      </c>
      <c r="K144" s="23" t="n">
        <f aca="false">IFERROR(J144/G144,0)</f>
        <v>0</v>
      </c>
      <c r="L144" s="21" t="str">
        <f aca="false">IF(B144="","",IF(J144=MAX(SUMIFS($J$2:$J$200,$B$2:$B$200,B144,$C$2:$C$200,C144,$D$2:$D$200,"A"),SUMIFS($J$2:$J$200,$B$2:$B$200,B144,$C$2:$C$200,C144,$D$2:$D$200,"B")),"Current Winner",""))</f>
        <v/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" hidden="false" customHeight="false" outlineLevel="0" collapsed="false">
      <c r="A145" s="22"/>
      <c r="B145" s="21"/>
      <c r="C145" s="21"/>
      <c r="D145" s="21"/>
      <c r="E145" s="23"/>
      <c r="F145" s="21"/>
      <c r="G145" s="24"/>
      <c r="H145" s="24"/>
      <c r="I145" s="25" t="n">
        <f aca="false">IFERROR(H145/G145,0)</f>
        <v>0</v>
      </c>
      <c r="J145" s="23" t="n">
        <f aca="false">IFERROR(E145*H145,0)</f>
        <v>0</v>
      </c>
      <c r="K145" s="23" t="n">
        <f aca="false">IFERROR(J145/G145,0)</f>
        <v>0</v>
      </c>
      <c r="L145" s="21" t="str">
        <f aca="false">IF(B145="","",IF(J145=MAX(SUMIFS($J$2:$J$200,$B$2:$B$200,B145,$C$2:$C$200,C145,$D$2:$D$200,"A"),SUMIFS($J$2:$J$200,$B$2:$B$200,B145,$C$2:$C$200,C145,$D$2:$D$200,"B")),"Current Winner",""))</f>
        <v/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" hidden="false" customHeight="false" outlineLevel="0" collapsed="false">
      <c r="A146" s="22"/>
      <c r="B146" s="21"/>
      <c r="C146" s="21"/>
      <c r="D146" s="21"/>
      <c r="E146" s="23"/>
      <c r="F146" s="21"/>
      <c r="G146" s="24"/>
      <c r="H146" s="24"/>
      <c r="I146" s="25" t="n">
        <f aca="false">IFERROR(H146/G146,0)</f>
        <v>0</v>
      </c>
      <c r="J146" s="23" t="n">
        <f aca="false">IFERROR(E146*H146,0)</f>
        <v>0</v>
      </c>
      <c r="K146" s="23" t="n">
        <f aca="false">IFERROR(J146/G146,0)</f>
        <v>0</v>
      </c>
      <c r="L146" s="21" t="str">
        <f aca="false">IF(B146="","",IF(J146=MAX(SUMIFS($J$2:$J$200,$B$2:$B$200,B146,$C$2:$C$200,C146,$D$2:$D$200,"A"),SUMIFS($J$2:$J$200,$B$2:$B$200,B146,$C$2:$C$200,C146,$D$2:$D$200,"B")),"Current Winner",""))</f>
        <v/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" hidden="false" customHeight="false" outlineLevel="0" collapsed="false">
      <c r="A147" s="22"/>
      <c r="B147" s="21"/>
      <c r="C147" s="21"/>
      <c r="D147" s="21"/>
      <c r="E147" s="23"/>
      <c r="F147" s="21"/>
      <c r="G147" s="24"/>
      <c r="H147" s="24"/>
      <c r="I147" s="25" t="n">
        <f aca="false">IFERROR(H147/G147,0)</f>
        <v>0</v>
      </c>
      <c r="J147" s="23" t="n">
        <f aca="false">IFERROR(E147*H147,0)</f>
        <v>0</v>
      </c>
      <c r="K147" s="23" t="n">
        <f aca="false">IFERROR(J147/G147,0)</f>
        <v>0</v>
      </c>
      <c r="L147" s="21" t="str">
        <f aca="false">IF(B147="","",IF(J147=MAX(SUMIFS($J$2:$J$200,$B$2:$B$200,B147,$C$2:$C$200,C147,$D$2:$D$200,"A"),SUMIFS($J$2:$J$200,$B$2:$B$200,B147,$C$2:$C$200,C147,$D$2:$D$200,"B")),"Current Winner",""))</f>
        <v/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" hidden="false" customHeight="false" outlineLevel="0" collapsed="false">
      <c r="A148" s="22"/>
      <c r="B148" s="21"/>
      <c r="C148" s="21"/>
      <c r="D148" s="21"/>
      <c r="E148" s="23"/>
      <c r="F148" s="21"/>
      <c r="G148" s="24"/>
      <c r="H148" s="24"/>
      <c r="I148" s="25" t="n">
        <f aca="false">IFERROR(H148/G148,0)</f>
        <v>0</v>
      </c>
      <c r="J148" s="23" t="n">
        <f aca="false">IFERROR(E148*H148,0)</f>
        <v>0</v>
      </c>
      <c r="K148" s="23" t="n">
        <f aca="false">IFERROR(J148/G148,0)</f>
        <v>0</v>
      </c>
      <c r="L148" s="21" t="str">
        <f aca="false">IF(B148="","",IF(J148=MAX(SUMIFS($J$2:$J$200,$B$2:$B$200,B148,$C$2:$C$200,C148,$D$2:$D$200,"A"),SUMIFS($J$2:$J$200,$B$2:$B$200,B148,$C$2:$C$200,C148,$D$2:$D$200,"B")),"Current Winner",""))</f>
        <v/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" hidden="false" customHeight="false" outlineLevel="0" collapsed="false">
      <c r="A149" s="22"/>
      <c r="B149" s="21"/>
      <c r="C149" s="21"/>
      <c r="D149" s="21"/>
      <c r="E149" s="23"/>
      <c r="F149" s="21"/>
      <c r="G149" s="24"/>
      <c r="H149" s="24"/>
      <c r="I149" s="25" t="n">
        <f aca="false">IFERROR(H149/G149,0)</f>
        <v>0</v>
      </c>
      <c r="J149" s="23" t="n">
        <f aca="false">IFERROR(E149*H149,0)</f>
        <v>0</v>
      </c>
      <c r="K149" s="23" t="n">
        <f aca="false">IFERROR(J149/G149,0)</f>
        <v>0</v>
      </c>
      <c r="L149" s="21" t="str">
        <f aca="false">IF(B149="","",IF(J149=MAX(SUMIFS($J$2:$J$200,$B$2:$B$200,B149,$C$2:$C$200,C149,$D$2:$D$200,"A"),SUMIFS($J$2:$J$200,$B$2:$B$200,B149,$C$2:$C$200,C149,$D$2:$D$200,"B")),"Current Winner",""))</f>
        <v/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" hidden="false" customHeight="false" outlineLevel="0" collapsed="false">
      <c r="A150" s="22"/>
      <c r="B150" s="21"/>
      <c r="C150" s="21"/>
      <c r="D150" s="21"/>
      <c r="E150" s="23"/>
      <c r="F150" s="21"/>
      <c r="G150" s="24"/>
      <c r="H150" s="24"/>
      <c r="I150" s="25" t="n">
        <f aca="false">IFERROR(H150/G150,0)</f>
        <v>0</v>
      </c>
      <c r="J150" s="23" t="n">
        <f aca="false">IFERROR(E150*H150,0)</f>
        <v>0</v>
      </c>
      <c r="K150" s="23" t="n">
        <f aca="false">IFERROR(J150/G150,0)</f>
        <v>0</v>
      </c>
      <c r="L150" s="21" t="str">
        <f aca="false">IF(B150="","",IF(J150=MAX(SUMIFS($J$2:$J$200,$B$2:$B$200,B150,$C$2:$C$200,C150,$D$2:$D$200,"A"),SUMIFS($J$2:$J$200,$B$2:$B$200,B150,$C$2:$C$200,C150,$D$2:$D$200,"B")),"Current Winner",""))</f>
        <v/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" hidden="false" customHeight="false" outlineLevel="0" collapsed="false">
      <c r="A151" s="22"/>
      <c r="B151" s="21"/>
      <c r="C151" s="21"/>
      <c r="D151" s="21"/>
      <c r="E151" s="23"/>
      <c r="F151" s="21"/>
      <c r="G151" s="24"/>
      <c r="H151" s="24"/>
      <c r="I151" s="25" t="n">
        <f aca="false">IFERROR(H151/G151,0)</f>
        <v>0</v>
      </c>
      <c r="J151" s="23" t="n">
        <f aca="false">IFERROR(E151*H151,0)</f>
        <v>0</v>
      </c>
      <c r="K151" s="23" t="n">
        <f aca="false">IFERROR(J151/G151,0)</f>
        <v>0</v>
      </c>
      <c r="L151" s="21" t="str">
        <f aca="false">IF(B151="","",IF(J151=MAX(SUMIFS($J$2:$J$200,$B$2:$B$200,B151,$C$2:$C$200,C151,$D$2:$D$200,"A"),SUMIFS($J$2:$J$200,$B$2:$B$200,B151,$C$2:$C$200,C151,$D$2:$D$200,"B")),"Current Winner",""))</f>
        <v/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" hidden="false" customHeight="false" outlineLevel="0" collapsed="false">
      <c r="A152" s="22"/>
      <c r="B152" s="21"/>
      <c r="C152" s="21"/>
      <c r="D152" s="21"/>
      <c r="E152" s="23"/>
      <c r="F152" s="21"/>
      <c r="G152" s="24"/>
      <c r="H152" s="24"/>
      <c r="I152" s="25" t="n">
        <f aca="false">IFERROR(H152/G152,0)</f>
        <v>0</v>
      </c>
      <c r="J152" s="23" t="n">
        <f aca="false">IFERROR(E152*H152,0)</f>
        <v>0</v>
      </c>
      <c r="K152" s="23" t="n">
        <f aca="false">IFERROR(J152/G152,0)</f>
        <v>0</v>
      </c>
      <c r="L152" s="21" t="str">
        <f aca="false">IF(B152="","",IF(J152=MAX(SUMIFS($J$2:$J$200,$B$2:$B$200,B152,$C$2:$C$200,C152,$D$2:$D$200,"A"),SUMIFS($J$2:$J$200,$B$2:$B$200,B152,$C$2:$C$200,C152,$D$2:$D$200,"B")),"Current Winner",""))</f>
        <v/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" hidden="false" customHeight="false" outlineLevel="0" collapsed="false">
      <c r="A153" s="22"/>
      <c r="B153" s="21"/>
      <c r="C153" s="21"/>
      <c r="D153" s="21"/>
      <c r="E153" s="23"/>
      <c r="F153" s="21"/>
      <c r="G153" s="24"/>
      <c r="H153" s="24"/>
      <c r="I153" s="25" t="n">
        <f aca="false">IFERROR(H153/G153,0)</f>
        <v>0</v>
      </c>
      <c r="J153" s="23" t="n">
        <f aca="false">IFERROR(E153*H153,0)</f>
        <v>0</v>
      </c>
      <c r="K153" s="23" t="n">
        <f aca="false">IFERROR(J153/G153,0)</f>
        <v>0</v>
      </c>
      <c r="L153" s="21" t="str">
        <f aca="false">IF(B153="","",IF(J153=MAX(SUMIFS($J$2:$J$200,$B$2:$B$200,B153,$C$2:$C$200,C153,$D$2:$D$200,"A"),SUMIFS($J$2:$J$200,$B$2:$B$200,B153,$C$2:$C$200,C153,$D$2:$D$200,"B")),"Current Winner",""))</f>
        <v/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" hidden="false" customHeight="false" outlineLevel="0" collapsed="false">
      <c r="A154" s="22"/>
      <c r="B154" s="21"/>
      <c r="C154" s="21"/>
      <c r="D154" s="21"/>
      <c r="E154" s="23"/>
      <c r="F154" s="21"/>
      <c r="G154" s="24"/>
      <c r="H154" s="24"/>
      <c r="I154" s="25" t="n">
        <f aca="false">IFERROR(H154/G154,0)</f>
        <v>0</v>
      </c>
      <c r="J154" s="23" t="n">
        <f aca="false">IFERROR(E154*H154,0)</f>
        <v>0</v>
      </c>
      <c r="K154" s="23" t="n">
        <f aca="false">IFERROR(J154/G154,0)</f>
        <v>0</v>
      </c>
      <c r="L154" s="21" t="str">
        <f aca="false">IF(B154="","",IF(J154=MAX(SUMIFS($J$2:$J$200,$B$2:$B$200,B154,$C$2:$C$200,C154,$D$2:$D$200,"A"),SUMIFS($J$2:$J$200,$B$2:$B$200,B154,$C$2:$C$200,C154,$D$2:$D$200,"B")),"Current Winner",""))</f>
        <v/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" hidden="false" customHeight="false" outlineLevel="0" collapsed="false">
      <c r="A155" s="22"/>
      <c r="B155" s="21"/>
      <c r="C155" s="21"/>
      <c r="D155" s="21"/>
      <c r="E155" s="23"/>
      <c r="F155" s="21"/>
      <c r="G155" s="24"/>
      <c r="H155" s="24"/>
      <c r="I155" s="25" t="n">
        <f aca="false">IFERROR(H155/G155,0)</f>
        <v>0</v>
      </c>
      <c r="J155" s="23" t="n">
        <f aca="false">IFERROR(E155*H155,0)</f>
        <v>0</v>
      </c>
      <c r="K155" s="23" t="n">
        <f aca="false">IFERROR(J155/G155,0)</f>
        <v>0</v>
      </c>
      <c r="L155" s="21" t="str">
        <f aca="false">IF(B155="","",IF(J155=MAX(SUMIFS($J$2:$J$200,$B$2:$B$200,B155,$C$2:$C$200,C155,$D$2:$D$200,"A"),SUMIFS($J$2:$J$200,$B$2:$B$200,B155,$C$2:$C$200,C155,$D$2:$D$200,"B")),"Current Winner",""))</f>
        <v/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" hidden="false" customHeight="false" outlineLevel="0" collapsed="false">
      <c r="A156" s="22"/>
      <c r="B156" s="21"/>
      <c r="C156" s="21"/>
      <c r="D156" s="21"/>
      <c r="E156" s="23"/>
      <c r="F156" s="21"/>
      <c r="G156" s="24"/>
      <c r="H156" s="24"/>
      <c r="I156" s="25" t="n">
        <f aca="false">IFERROR(H156/G156,0)</f>
        <v>0</v>
      </c>
      <c r="J156" s="23" t="n">
        <f aca="false">IFERROR(E156*H156,0)</f>
        <v>0</v>
      </c>
      <c r="K156" s="23" t="n">
        <f aca="false">IFERROR(J156/G156,0)</f>
        <v>0</v>
      </c>
      <c r="L156" s="21" t="str">
        <f aca="false">IF(B156="","",IF(J156=MAX(SUMIFS($J$2:$J$200,$B$2:$B$200,B156,$C$2:$C$200,C156,$D$2:$D$200,"A"),SUMIFS($J$2:$J$200,$B$2:$B$200,B156,$C$2:$C$200,C156,$D$2:$D$200,"B")),"Current Winner",""))</f>
        <v/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" hidden="false" customHeight="false" outlineLevel="0" collapsed="false">
      <c r="A157" s="22"/>
      <c r="B157" s="21"/>
      <c r="C157" s="21"/>
      <c r="D157" s="21"/>
      <c r="E157" s="23"/>
      <c r="F157" s="21"/>
      <c r="G157" s="24"/>
      <c r="H157" s="24"/>
      <c r="I157" s="25" t="n">
        <f aca="false">IFERROR(H157/G157,0)</f>
        <v>0</v>
      </c>
      <c r="J157" s="23" t="n">
        <f aca="false">IFERROR(E157*H157,0)</f>
        <v>0</v>
      </c>
      <c r="K157" s="23" t="n">
        <f aca="false">IFERROR(J157/G157,0)</f>
        <v>0</v>
      </c>
      <c r="L157" s="21" t="str">
        <f aca="false">IF(B157="","",IF(J157=MAX(SUMIFS($J$2:$J$200,$B$2:$B$200,B157,$C$2:$C$200,C157,$D$2:$D$200,"A"),SUMIFS($J$2:$J$200,$B$2:$B$200,B157,$C$2:$C$200,C157,$D$2:$D$200,"B")),"Current Winner",""))</f>
        <v/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" hidden="false" customHeight="false" outlineLevel="0" collapsed="false">
      <c r="A158" s="22"/>
      <c r="B158" s="21"/>
      <c r="C158" s="21"/>
      <c r="D158" s="21"/>
      <c r="E158" s="23"/>
      <c r="F158" s="21"/>
      <c r="G158" s="24"/>
      <c r="H158" s="24"/>
      <c r="I158" s="25" t="n">
        <f aca="false">IFERROR(H158/G158,0)</f>
        <v>0</v>
      </c>
      <c r="J158" s="23" t="n">
        <f aca="false">IFERROR(E158*H158,0)</f>
        <v>0</v>
      </c>
      <c r="K158" s="23" t="n">
        <f aca="false">IFERROR(J158/G158,0)</f>
        <v>0</v>
      </c>
      <c r="L158" s="21" t="str">
        <f aca="false">IF(B158="","",IF(J158=MAX(SUMIFS($J$2:$J$200,$B$2:$B$200,B158,$C$2:$C$200,C158,$D$2:$D$200,"A"),SUMIFS($J$2:$J$200,$B$2:$B$200,B158,$C$2:$C$200,C158,$D$2:$D$200,"B")),"Current Winner",""))</f>
        <v/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" hidden="false" customHeight="false" outlineLevel="0" collapsed="false">
      <c r="A159" s="22"/>
      <c r="B159" s="21"/>
      <c r="C159" s="21"/>
      <c r="D159" s="21"/>
      <c r="E159" s="23"/>
      <c r="F159" s="21"/>
      <c r="G159" s="24"/>
      <c r="H159" s="24"/>
      <c r="I159" s="25" t="n">
        <f aca="false">IFERROR(H159/G159,0)</f>
        <v>0</v>
      </c>
      <c r="J159" s="23" t="n">
        <f aca="false">IFERROR(E159*H159,0)</f>
        <v>0</v>
      </c>
      <c r="K159" s="23" t="n">
        <f aca="false">IFERROR(J159/G159,0)</f>
        <v>0</v>
      </c>
      <c r="L159" s="21" t="str">
        <f aca="false">IF(B159="","",IF(J159=MAX(SUMIFS($J$2:$J$200,$B$2:$B$200,B159,$C$2:$C$200,C159,$D$2:$D$200,"A"),SUMIFS($J$2:$J$200,$B$2:$B$200,B159,$C$2:$C$200,C159,$D$2:$D$200,"B")),"Current Winner",""))</f>
        <v/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" hidden="false" customHeight="false" outlineLevel="0" collapsed="false">
      <c r="A160" s="22"/>
      <c r="B160" s="21"/>
      <c r="C160" s="21"/>
      <c r="D160" s="21"/>
      <c r="E160" s="23"/>
      <c r="F160" s="21"/>
      <c r="G160" s="24"/>
      <c r="H160" s="24"/>
      <c r="I160" s="25" t="n">
        <f aca="false">IFERROR(H160/G160,0)</f>
        <v>0</v>
      </c>
      <c r="J160" s="23" t="n">
        <f aca="false">IFERROR(E160*H160,0)</f>
        <v>0</v>
      </c>
      <c r="K160" s="23" t="n">
        <f aca="false">IFERROR(J160/G160,0)</f>
        <v>0</v>
      </c>
      <c r="L160" s="21" t="str">
        <f aca="false">IF(B160="","",IF(J160=MAX(SUMIFS($J$2:$J$200,$B$2:$B$200,B160,$C$2:$C$200,C160,$D$2:$D$200,"A"),SUMIFS($J$2:$J$200,$B$2:$B$200,B160,$C$2:$C$200,C160,$D$2:$D$200,"B")),"Current Winner",""))</f>
        <v/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" hidden="false" customHeight="false" outlineLevel="0" collapsed="false">
      <c r="A161" s="22"/>
      <c r="B161" s="21"/>
      <c r="C161" s="21"/>
      <c r="D161" s="21"/>
      <c r="E161" s="23"/>
      <c r="F161" s="21"/>
      <c r="G161" s="24"/>
      <c r="H161" s="24"/>
      <c r="I161" s="25" t="n">
        <f aca="false">IFERROR(H161/G161,0)</f>
        <v>0</v>
      </c>
      <c r="J161" s="23" t="n">
        <f aca="false">IFERROR(E161*H161,0)</f>
        <v>0</v>
      </c>
      <c r="K161" s="23" t="n">
        <f aca="false">IFERROR(J161/G161,0)</f>
        <v>0</v>
      </c>
      <c r="L161" s="21" t="str">
        <f aca="false">IF(B161="","",IF(J161=MAX(SUMIFS($J$2:$J$200,$B$2:$B$200,B161,$C$2:$C$200,C161,$D$2:$D$200,"A"),SUMIFS($J$2:$J$200,$B$2:$B$200,B161,$C$2:$C$200,C161,$D$2:$D$200,"B")),"Current Winner",""))</f>
        <v/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" hidden="false" customHeight="false" outlineLevel="0" collapsed="false">
      <c r="A162" s="22"/>
      <c r="B162" s="21"/>
      <c r="C162" s="21"/>
      <c r="D162" s="21"/>
      <c r="E162" s="23"/>
      <c r="F162" s="21"/>
      <c r="G162" s="24"/>
      <c r="H162" s="24"/>
      <c r="I162" s="25" t="n">
        <f aca="false">IFERROR(H162/G162,0)</f>
        <v>0</v>
      </c>
      <c r="J162" s="23" t="n">
        <f aca="false">IFERROR(E162*H162,0)</f>
        <v>0</v>
      </c>
      <c r="K162" s="23" t="n">
        <f aca="false">IFERROR(J162/G162,0)</f>
        <v>0</v>
      </c>
      <c r="L162" s="21" t="str">
        <f aca="false">IF(B162="","",IF(J162=MAX(SUMIFS($J$2:$J$200,$B$2:$B$200,B162,$C$2:$C$200,C162,$D$2:$D$200,"A"),SUMIFS($J$2:$J$200,$B$2:$B$200,B162,$C$2:$C$200,C162,$D$2:$D$200,"B")),"Current Winner",""))</f>
        <v/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" hidden="false" customHeight="false" outlineLevel="0" collapsed="false">
      <c r="A163" s="22"/>
      <c r="B163" s="21"/>
      <c r="C163" s="21"/>
      <c r="D163" s="21"/>
      <c r="E163" s="23"/>
      <c r="F163" s="21"/>
      <c r="G163" s="24"/>
      <c r="H163" s="24"/>
      <c r="I163" s="25" t="n">
        <f aca="false">IFERROR(H163/G163,0)</f>
        <v>0</v>
      </c>
      <c r="J163" s="23" t="n">
        <f aca="false">IFERROR(E163*H163,0)</f>
        <v>0</v>
      </c>
      <c r="K163" s="23" t="n">
        <f aca="false">IFERROR(J163/G163,0)</f>
        <v>0</v>
      </c>
      <c r="L163" s="21" t="str">
        <f aca="false">IF(B163="","",IF(J163=MAX(SUMIFS($J$2:$J$200,$B$2:$B$200,B163,$C$2:$C$200,C163,$D$2:$D$200,"A"),SUMIFS($J$2:$J$200,$B$2:$B$200,B163,$C$2:$C$200,C163,$D$2:$D$200,"B")),"Current Winner",""))</f>
        <v/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" hidden="false" customHeight="false" outlineLevel="0" collapsed="false">
      <c r="A164" s="22"/>
      <c r="B164" s="21"/>
      <c r="C164" s="21"/>
      <c r="D164" s="21"/>
      <c r="E164" s="23"/>
      <c r="F164" s="21"/>
      <c r="G164" s="24"/>
      <c r="H164" s="24"/>
      <c r="I164" s="25" t="n">
        <f aca="false">IFERROR(H164/G164,0)</f>
        <v>0</v>
      </c>
      <c r="J164" s="23" t="n">
        <f aca="false">IFERROR(E164*H164,0)</f>
        <v>0</v>
      </c>
      <c r="K164" s="23" t="n">
        <f aca="false">IFERROR(J164/G164,0)</f>
        <v>0</v>
      </c>
      <c r="L164" s="21" t="str">
        <f aca="false">IF(B164="","",IF(J164=MAX(SUMIFS($J$2:$J$200,$B$2:$B$200,B164,$C$2:$C$200,C164,$D$2:$D$200,"A"),SUMIFS($J$2:$J$200,$B$2:$B$200,B164,$C$2:$C$200,C164,$D$2:$D$200,"B")),"Current Winner",""))</f>
        <v/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" hidden="false" customHeight="false" outlineLevel="0" collapsed="false">
      <c r="A165" s="22"/>
      <c r="B165" s="21"/>
      <c r="C165" s="21"/>
      <c r="D165" s="21"/>
      <c r="E165" s="23"/>
      <c r="F165" s="21"/>
      <c r="G165" s="24"/>
      <c r="H165" s="24"/>
      <c r="I165" s="25" t="n">
        <f aca="false">IFERROR(H165/G165,0)</f>
        <v>0</v>
      </c>
      <c r="J165" s="23" t="n">
        <f aca="false">IFERROR(E165*H165,0)</f>
        <v>0</v>
      </c>
      <c r="K165" s="23" t="n">
        <f aca="false">IFERROR(J165/G165,0)</f>
        <v>0</v>
      </c>
      <c r="L165" s="21" t="str">
        <f aca="false">IF(B165="","",IF(J165=MAX(SUMIFS($J$2:$J$200,$B$2:$B$200,B165,$C$2:$C$200,C165,$D$2:$D$200,"A"),SUMIFS($J$2:$J$200,$B$2:$B$200,B165,$C$2:$C$200,C165,$D$2:$D$200,"B")),"Current Winner",""))</f>
        <v/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" hidden="false" customHeight="false" outlineLevel="0" collapsed="false">
      <c r="A166" s="22"/>
      <c r="B166" s="21"/>
      <c r="C166" s="21"/>
      <c r="D166" s="21"/>
      <c r="E166" s="23"/>
      <c r="F166" s="21"/>
      <c r="G166" s="24"/>
      <c r="H166" s="24"/>
      <c r="I166" s="25" t="n">
        <f aca="false">IFERROR(H166/G166,0)</f>
        <v>0</v>
      </c>
      <c r="J166" s="23" t="n">
        <f aca="false">IFERROR(E166*H166,0)</f>
        <v>0</v>
      </c>
      <c r="K166" s="23" t="n">
        <f aca="false">IFERROR(J166/G166,0)</f>
        <v>0</v>
      </c>
      <c r="L166" s="21" t="str">
        <f aca="false">IF(B166="","",IF(J166=MAX(SUMIFS($J$2:$J$200,$B$2:$B$200,B166,$C$2:$C$200,C166,$D$2:$D$200,"A"),SUMIFS($J$2:$J$200,$B$2:$B$200,B166,$C$2:$C$200,C166,$D$2:$D$200,"B")),"Current Winner",""))</f>
        <v/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" hidden="false" customHeight="false" outlineLevel="0" collapsed="false">
      <c r="A167" s="22"/>
      <c r="B167" s="21"/>
      <c r="C167" s="21"/>
      <c r="D167" s="21"/>
      <c r="E167" s="23"/>
      <c r="F167" s="21"/>
      <c r="G167" s="24"/>
      <c r="H167" s="24"/>
      <c r="I167" s="25" t="n">
        <f aca="false">IFERROR(H167/G167,0)</f>
        <v>0</v>
      </c>
      <c r="J167" s="23" t="n">
        <f aca="false">IFERROR(E167*H167,0)</f>
        <v>0</v>
      </c>
      <c r="K167" s="23" t="n">
        <f aca="false">IFERROR(J167/G167,0)</f>
        <v>0</v>
      </c>
      <c r="L167" s="21" t="str">
        <f aca="false">IF(B167="","",IF(J167=MAX(SUMIFS($J$2:$J$200,$B$2:$B$200,B167,$C$2:$C$200,C167,$D$2:$D$200,"A"),SUMIFS($J$2:$J$200,$B$2:$B$200,B167,$C$2:$C$200,C167,$D$2:$D$200,"B")),"Current Winner",""))</f>
        <v/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" hidden="false" customHeight="false" outlineLevel="0" collapsed="false">
      <c r="A168" s="22"/>
      <c r="B168" s="21"/>
      <c r="C168" s="21"/>
      <c r="D168" s="21"/>
      <c r="E168" s="23"/>
      <c r="F168" s="21"/>
      <c r="G168" s="24"/>
      <c r="H168" s="24"/>
      <c r="I168" s="25" t="n">
        <f aca="false">IFERROR(H168/G168,0)</f>
        <v>0</v>
      </c>
      <c r="J168" s="23" t="n">
        <f aca="false">IFERROR(E168*H168,0)</f>
        <v>0</v>
      </c>
      <c r="K168" s="23" t="n">
        <f aca="false">IFERROR(J168/G168,0)</f>
        <v>0</v>
      </c>
      <c r="L168" s="21" t="str">
        <f aca="false">IF(B168="","",IF(J168=MAX(SUMIFS($J$2:$J$200,$B$2:$B$200,B168,$C$2:$C$200,C168,$D$2:$D$200,"A"),SUMIFS($J$2:$J$200,$B$2:$B$200,B168,$C$2:$C$200,C168,$D$2:$D$200,"B")),"Current Winner",""))</f>
        <v/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" hidden="false" customHeight="false" outlineLevel="0" collapsed="false">
      <c r="A169" s="22"/>
      <c r="B169" s="21"/>
      <c r="C169" s="21"/>
      <c r="D169" s="21"/>
      <c r="E169" s="23"/>
      <c r="F169" s="21"/>
      <c r="G169" s="24"/>
      <c r="H169" s="24"/>
      <c r="I169" s="25" t="n">
        <f aca="false">IFERROR(H169/G169,0)</f>
        <v>0</v>
      </c>
      <c r="J169" s="23" t="n">
        <f aca="false">IFERROR(E169*H169,0)</f>
        <v>0</v>
      </c>
      <c r="K169" s="23" t="n">
        <f aca="false">IFERROR(J169/G169,0)</f>
        <v>0</v>
      </c>
      <c r="L169" s="21" t="str">
        <f aca="false">IF(B169="","",IF(J169=MAX(SUMIFS($J$2:$J$200,$B$2:$B$200,B169,$C$2:$C$200,C169,$D$2:$D$200,"A"),SUMIFS($J$2:$J$200,$B$2:$B$200,B169,$C$2:$C$200,C169,$D$2:$D$200,"B")),"Current Winner",""))</f>
        <v/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" hidden="false" customHeight="false" outlineLevel="0" collapsed="false">
      <c r="A170" s="22"/>
      <c r="B170" s="21"/>
      <c r="C170" s="21"/>
      <c r="D170" s="21"/>
      <c r="E170" s="23"/>
      <c r="F170" s="21"/>
      <c r="G170" s="24"/>
      <c r="H170" s="24"/>
      <c r="I170" s="25" t="n">
        <f aca="false">IFERROR(H170/G170,0)</f>
        <v>0</v>
      </c>
      <c r="J170" s="23" t="n">
        <f aca="false">IFERROR(E170*H170,0)</f>
        <v>0</v>
      </c>
      <c r="K170" s="23" t="n">
        <f aca="false">IFERROR(J170/G170,0)</f>
        <v>0</v>
      </c>
      <c r="L170" s="21" t="str">
        <f aca="false">IF(B170="","",IF(J170=MAX(SUMIFS($J$2:$J$200,$B$2:$B$200,B170,$C$2:$C$200,C170,$D$2:$D$200,"A"),SUMIFS($J$2:$J$200,$B$2:$B$200,B170,$C$2:$C$200,C170,$D$2:$D$200,"B")),"Current Winner",""))</f>
        <v/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" hidden="false" customHeight="false" outlineLevel="0" collapsed="false">
      <c r="A171" s="22"/>
      <c r="B171" s="21"/>
      <c r="C171" s="21"/>
      <c r="D171" s="21"/>
      <c r="E171" s="23"/>
      <c r="F171" s="21"/>
      <c r="G171" s="24"/>
      <c r="H171" s="24"/>
      <c r="I171" s="25" t="n">
        <f aca="false">IFERROR(H171/G171,0)</f>
        <v>0</v>
      </c>
      <c r="J171" s="23" t="n">
        <f aca="false">IFERROR(E171*H171,0)</f>
        <v>0</v>
      </c>
      <c r="K171" s="23" t="n">
        <f aca="false">IFERROR(J171/G171,0)</f>
        <v>0</v>
      </c>
      <c r="L171" s="21" t="str">
        <f aca="false">IF(B171="","",IF(J171=MAX(SUMIFS($J$2:$J$200,$B$2:$B$200,B171,$C$2:$C$200,C171,$D$2:$D$200,"A"),SUMIFS($J$2:$J$200,$B$2:$B$200,B171,$C$2:$C$200,C171,$D$2:$D$200,"B")),"Current Winner",""))</f>
        <v/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" hidden="false" customHeight="false" outlineLevel="0" collapsed="false">
      <c r="A172" s="22"/>
      <c r="B172" s="21"/>
      <c r="C172" s="21"/>
      <c r="D172" s="21"/>
      <c r="E172" s="23"/>
      <c r="F172" s="21"/>
      <c r="G172" s="24"/>
      <c r="H172" s="24"/>
      <c r="I172" s="25" t="n">
        <f aca="false">IFERROR(H172/G172,0)</f>
        <v>0</v>
      </c>
      <c r="J172" s="23" t="n">
        <f aca="false">IFERROR(E172*H172,0)</f>
        <v>0</v>
      </c>
      <c r="K172" s="23" t="n">
        <f aca="false">IFERROR(J172/G172,0)</f>
        <v>0</v>
      </c>
      <c r="L172" s="21" t="str">
        <f aca="false">IF(B172="","",IF(J172=MAX(SUMIFS($J$2:$J$200,$B$2:$B$200,B172,$C$2:$C$200,C172,$D$2:$D$200,"A"),SUMIFS($J$2:$J$200,$B$2:$B$200,B172,$C$2:$C$200,C172,$D$2:$D$200,"B")),"Current Winner",""))</f>
        <v/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" hidden="false" customHeight="false" outlineLevel="0" collapsed="false">
      <c r="A173" s="22"/>
      <c r="B173" s="21"/>
      <c r="C173" s="21"/>
      <c r="D173" s="21"/>
      <c r="E173" s="23"/>
      <c r="F173" s="21"/>
      <c r="G173" s="24"/>
      <c r="H173" s="24"/>
      <c r="I173" s="25" t="n">
        <f aca="false">IFERROR(H173/G173,0)</f>
        <v>0</v>
      </c>
      <c r="J173" s="23" t="n">
        <f aca="false">IFERROR(E173*H173,0)</f>
        <v>0</v>
      </c>
      <c r="K173" s="23" t="n">
        <f aca="false">IFERROR(J173/G173,0)</f>
        <v>0</v>
      </c>
      <c r="L173" s="21" t="str">
        <f aca="false">IF(B173="","",IF(J173=MAX(SUMIFS($J$2:$J$200,$B$2:$B$200,B173,$C$2:$C$200,C173,$D$2:$D$200,"A"),SUMIFS($J$2:$J$200,$B$2:$B$200,B173,$C$2:$C$200,C173,$D$2:$D$200,"B")),"Current Winner",""))</f>
        <v/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" hidden="false" customHeight="false" outlineLevel="0" collapsed="false">
      <c r="A174" s="22"/>
      <c r="B174" s="21"/>
      <c r="C174" s="21"/>
      <c r="D174" s="21"/>
      <c r="E174" s="23"/>
      <c r="F174" s="21"/>
      <c r="G174" s="24"/>
      <c r="H174" s="24"/>
      <c r="I174" s="25" t="n">
        <f aca="false">IFERROR(H174/G174,0)</f>
        <v>0</v>
      </c>
      <c r="J174" s="23" t="n">
        <f aca="false">IFERROR(E174*H174,0)</f>
        <v>0</v>
      </c>
      <c r="K174" s="23" t="n">
        <f aca="false">IFERROR(J174/G174,0)</f>
        <v>0</v>
      </c>
      <c r="L174" s="21" t="str">
        <f aca="false">IF(B174="","",IF(J174=MAX(SUMIFS($J$2:$J$200,$B$2:$B$200,B174,$C$2:$C$200,C174,$D$2:$D$200,"A"),SUMIFS($J$2:$J$200,$B$2:$B$200,B174,$C$2:$C$200,C174,$D$2:$D$200,"B")),"Current Winner",""))</f>
        <v/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" hidden="false" customHeight="false" outlineLevel="0" collapsed="false">
      <c r="A175" s="22"/>
      <c r="B175" s="21"/>
      <c r="C175" s="21"/>
      <c r="D175" s="21"/>
      <c r="E175" s="23"/>
      <c r="F175" s="21"/>
      <c r="G175" s="24"/>
      <c r="H175" s="24"/>
      <c r="I175" s="25" t="n">
        <f aca="false">IFERROR(H175/G175,0)</f>
        <v>0</v>
      </c>
      <c r="J175" s="23" t="n">
        <f aca="false">IFERROR(E175*H175,0)</f>
        <v>0</v>
      </c>
      <c r="K175" s="23" t="n">
        <f aca="false">IFERROR(J175/G175,0)</f>
        <v>0</v>
      </c>
      <c r="L175" s="21" t="str">
        <f aca="false">IF(B175="","",IF(J175=MAX(SUMIFS($J$2:$J$200,$B$2:$B$200,B175,$C$2:$C$200,C175,$D$2:$D$200,"A"),SUMIFS($J$2:$J$200,$B$2:$B$200,B175,$C$2:$C$200,C175,$D$2:$D$200,"B")),"Current Winner",""))</f>
        <v/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" hidden="false" customHeight="false" outlineLevel="0" collapsed="false">
      <c r="A176" s="22"/>
      <c r="B176" s="21"/>
      <c r="C176" s="21"/>
      <c r="D176" s="21"/>
      <c r="E176" s="23"/>
      <c r="F176" s="21"/>
      <c r="G176" s="24"/>
      <c r="H176" s="24"/>
      <c r="I176" s="25" t="n">
        <f aca="false">IFERROR(H176/G176,0)</f>
        <v>0</v>
      </c>
      <c r="J176" s="23" t="n">
        <f aca="false">IFERROR(E176*H176,0)</f>
        <v>0</v>
      </c>
      <c r="K176" s="23" t="n">
        <f aca="false">IFERROR(J176/G176,0)</f>
        <v>0</v>
      </c>
      <c r="L176" s="21" t="str">
        <f aca="false">IF(B176="","",IF(J176=MAX(SUMIFS($J$2:$J$200,$B$2:$B$200,B176,$C$2:$C$200,C176,$D$2:$D$200,"A"),SUMIFS($J$2:$J$200,$B$2:$B$200,B176,$C$2:$C$200,C176,$D$2:$D$200,"B")),"Current Winner",""))</f>
        <v/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" hidden="false" customHeight="false" outlineLevel="0" collapsed="false">
      <c r="A177" s="22"/>
      <c r="B177" s="21"/>
      <c r="C177" s="21"/>
      <c r="D177" s="21"/>
      <c r="E177" s="23"/>
      <c r="F177" s="21"/>
      <c r="G177" s="24"/>
      <c r="H177" s="24"/>
      <c r="I177" s="25" t="n">
        <f aca="false">IFERROR(H177/G177,0)</f>
        <v>0</v>
      </c>
      <c r="J177" s="23" t="n">
        <f aca="false">IFERROR(E177*H177,0)</f>
        <v>0</v>
      </c>
      <c r="K177" s="23" t="n">
        <f aca="false">IFERROR(J177/G177,0)</f>
        <v>0</v>
      </c>
      <c r="L177" s="21" t="str">
        <f aca="false">IF(B177="","",IF(J177=MAX(SUMIFS($J$2:$J$200,$B$2:$B$200,B177,$C$2:$C$200,C177,$D$2:$D$200,"A"),SUMIFS($J$2:$J$200,$B$2:$B$200,B177,$C$2:$C$200,C177,$D$2:$D$200,"B")),"Current Winner",""))</f>
        <v/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" hidden="false" customHeight="false" outlineLevel="0" collapsed="false">
      <c r="A178" s="22"/>
      <c r="B178" s="21"/>
      <c r="C178" s="21"/>
      <c r="D178" s="21"/>
      <c r="E178" s="23"/>
      <c r="F178" s="21"/>
      <c r="G178" s="24"/>
      <c r="H178" s="24"/>
      <c r="I178" s="25" t="n">
        <f aca="false">IFERROR(H178/G178,0)</f>
        <v>0</v>
      </c>
      <c r="J178" s="23" t="n">
        <f aca="false">IFERROR(E178*H178,0)</f>
        <v>0</v>
      </c>
      <c r="K178" s="23" t="n">
        <f aca="false">IFERROR(J178/G178,0)</f>
        <v>0</v>
      </c>
      <c r="L178" s="21" t="str">
        <f aca="false">IF(B178="","",IF(J178=MAX(SUMIFS($J$2:$J$200,$B$2:$B$200,B178,$C$2:$C$200,C178,$D$2:$D$200,"A"),SUMIFS($J$2:$J$200,$B$2:$B$200,B178,$C$2:$C$200,C178,$D$2:$D$200,"B")),"Current Winner",""))</f>
        <v/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" hidden="false" customHeight="false" outlineLevel="0" collapsed="false">
      <c r="A179" s="22"/>
      <c r="B179" s="21"/>
      <c r="C179" s="21"/>
      <c r="D179" s="21"/>
      <c r="E179" s="23"/>
      <c r="F179" s="21"/>
      <c r="G179" s="24"/>
      <c r="H179" s="24"/>
      <c r="I179" s="25" t="n">
        <f aca="false">IFERROR(H179/G179,0)</f>
        <v>0</v>
      </c>
      <c r="J179" s="23" t="n">
        <f aca="false">IFERROR(E179*H179,0)</f>
        <v>0</v>
      </c>
      <c r="K179" s="23" t="n">
        <f aca="false">IFERROR(J179/G179,0)</f>
        <v>0</v>
      </c>
      <c r="L179" s="21" t="str">
        <f aca="false">IF(B179="","",IF(J179=MAX(SUMIFS($J$2:$J$200,$B$2:$B$200,B179,$C$2:$C$200,C179,$D$2:$D$200,"A"),SUMIFS($J$2:$J$200,$B$2:$B$200,B179,$C$2:$C$200,C179,$D$2:$D$200,"B")),"Current Winner",""))</f>
        <v/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" hidden="false" customHeight="false" outlineLevel="0" collapsed="false">
      <c r="A180" s="22"/>
      <c r="B180" s="21"/>
      <c r="C180" s="21"/>
      <c r="D180" s="21"/>
      <c r="E180" s="23"/>
      <c r="F180" s="21"/>
      <c r="G180" s="24"/>
      <c r="H180" s="24"/>
      <c r="I180" s="25" t="n">
        <f aca="false">IFERROR(H180/G180,0)</f>
        <v>0</v>
      </c>
      <c r="J180" s="23" t="n">
        <f aca="false">IFERROR(E180*H180,0)</f>
        <v>0</v>
      </c>
      <c r="K180" s="23" t="n">
        <f aca="false">IFERROR(J180/G180,0)</f>
        <v>0</v>
      </c>
      <c r="L180" s="21" t="str">
        <f aca="false">IF(B180="","",IF(J180=MAX(SUMIFS($J$2:$J$200,$B$2:$B$200,B180,$C$2:$C$200,C180,$D$2:$D$200,"A"),SUMIFS($J$2:$J$200,$B$2:$B$200,B180,$C$2:$C$200,C180,$D$2:$D$200,"B")),"Current Winner",""))</f>
        <v/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" hidden="false" customHeight="false" outlineLevel="0" collapsed="false">
      <c r="A181" s="22"/>
      <c r="B181" s="21"/>
      <c r="C181" s="21"/>
      <c r="D181" s="21"/>
      <c r="E181" s="23"/>
      <c r="F181" s="21"/>
      <c r="G181" s="24"/>
      <c r="H181" s="24"/>
      <c r="I181" s="25" t="n">
        <f aca="false">IFERROR(H181/G181,0)</f>
        <v>0</v>
      </c>
      <c r="J181" s="23" t="n">
        <f aca="false">IFERROR(E181*H181,0)</f>
        <v>0</v>
      </c>
      <c r="K181" s="23" t="n">
        <f aca="false">IFERROR(J181/G181,0)</f>
        <v>0</v>
      </c>
      <c r="L181" s="21" t="str">
        <f aca="false">IF(B181="","",IF(J181=MAX(SUMIFS($J$2:$J$200,$B$2:$B$200,B181,$C$2:$C$200,C181,$D$2:$D$200,"A"),SUMIFS($J$2:$J$200,$B$2:$B$200,B181,$C$2:$C$200,C181,$D$2:$D$200,"B")),"Current Winner",""))</f>
        <v/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" hidden="false" customHeight="false" outlineLevel="0" collapsed="false">
      <c r="A182" s="22"/>
      <c r="B182" s="21"/>
      <c r="C182" s="21"/>
      <c r="D182" s="21"/>
      <c r="E182" s="23"/>
      <c r="F182" s="21"/>
      <c r="G182" s="24"/>
      <c r="H182" s="24"/>
      <c r="I182" s="25" t="n">
        <f aca="false">IFERROR(H182/G182,0)</f>
        <v>0</v>
      </c>
      <c r="J182" s="23" t="n">
        <f aca="false">IFERROR(E182*H182,0)</f>
        <v>0</v>
      </c>
      <c r="K182" s="23" t="n">
        <f aca="false">IFERROR(J182/G182,0)</f>
        <v>0</v>
      </c>
      <c r="L182" s="21" t="str">
        <f aca="false">IF(B182="","",IF(J182=MAX(SUMIFS($J$2:$J$200,$B$2:$B$200,B182,$C$2:$C$200,C182,$D$2:$D$200,"A"),SUMIFS($J$2:$J$200,$B$2:$B$200,B182,$C$2:$C$200,C182,$D$2:$D$200,"B")),"Current Winner",""))</f>
        <v/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" hidden="false" customHeight="false" outlineLevel="0" collapsed="false">
      <c r="A183" s="22"/>
      <c r="B183" s="21"/>
      <c r="C183" s="21"/>
      <c r="D183" s="21"/>
      <c r="E183" s="23"/>
      <c r="F183" s="21"/>
      <c r="G183" s="24"/>
      <c r="H183" s="24"/>
      <c r="I183" s="25" t="n">
        <f aca="false">IFERROR(H183/G183,0)</f>
        <v>0</v>
      </c>
      <c r="J183" s="23" t="n">
        <f aca="false">IFERROR(E183*H183,0)</f>
        <v>0</v>
      </c>
      <c r="K183" s="23" t="n">
        <f aca="false">IFERROR(J183/G183,0)</f>
        <v>0</v>
      </c>
      <c r="L183" s="21" t="str">
        <f aca="false">IF(B183="","",IF(J183=MAX(SUMIFS($J$2:$J$200,$B$2:$B$200,B183,$C$2:$C$200,C183,$D$2:$D$200,"A"),SUMIFS($J$2:$J$200,$B$2:$B$200,B183,$C$2:$C$200,C183,$D$2:$D$200,"B")),"Current Winner",""))</f>
        <v/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" hidden="false" customHeight="false" outlineLevel="0" collapsed="false">
      <c r="A184" s="22"/>
      <c r="B184" s="21"/>
      <c r="C184" s="21"/>
      <c r="D184" s="21"/>
      <c r="E184" s="23"/>
      <c r="F184" s="21"/>
      <c r="G184" s="24"/>
      <c r="H184" s="24"/>
      <c r="I184" s="25" t="n">
        <f aca="false">IFERROR(H184/G184,0)</f>
        <v>0</v>
      </c>
      <c r="J184" s="23" t="n">
        <f aca="false">IFERROR(E184*H184,0)</f>
        <v>0</v>
      </c>
      <c r="K184" s="23" t="n">
        <f aca="false">IFERROR(J184/G184,0)</f>
        <v>0</v>
      </c>
      <c r="L184" s="21" t="str">
        <f aca="false">IF(B184="","",IF(J184=MAX(SUMIFS($J$2:$J$200,$B$2:$B$200,B184,$C$2:$C$200,C184,$D$2:$D$200,"A"),SUMIFS($J$2:$J$200,$B$2:$B$200,B184,$C$2:$C$200,C184,$D$2:$D$200,"B")),"Current Winner",""))</f>
        <v/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" hidden="false" customHeight="false" outlineLevel="0" collapsed="false">
      <c r="A185" s="22"/>
      <c r="B185" s="21"/>
      <c r="C185" s="21"/>
      <c r="D185" s="21"/>
      <c r="E185" s="23"/>
      <c r="F185" s="21"/>
      <c r="G185" s="24"/>
      <c r="H185" s="24"/>
      <c r="I185" s="25" t="n">
        <f aca="false">IFERROR(H185/G185,0)</f>
        <v>0</v>
      </c>
      <c r="J185" s="23" t="n">
        <f aca="false">IFERROR(E185*H185,0)</f>
        <v>0</v>
      </c>
      <c r="K185" s="23" t="n">
        <f aca="false">IFERROR(J185/G185,0)</f>
        <v>0</v>
      </c>
      <c r="L185" s="21" t="str">
        <f aca="false">IF(B185="","",IF(J185=MAX(SUMIFS($J$2:$J$200,$B$2:$B$200,B185,$C$2:$C$200,C185,$D$2:$D$200,"A"),SUMIFS($J$2:$J$200,$B$2:$B$200,B185,$C$2:$C$200,C185,$D$2:$D$200,"B")),"Current Winner",""))</f>
        <v/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" hidden="false" customHeight="false" outlineLevel="0" collapsed="false">
      <c r="A186" s="22"/>
      <c r="B186" s="21"/>
      <c r="C186" s="21"/>
      <c r="D186" s="21"/>
      <c r="E186" s="23"/>
      <c r="F186" s="21"/>
      <c r="G186" s="24"/>
      <c r="H186" s="24"/>
      <c r="I186" s="25" t="n">
        <f aca="false">IFERROR(H186/G186,0)</f>
        <v>0</v>
      </c>
      <c r="J186" s="23" t="n">
        <f aca="false">IFERROR(E186*H186,0)</f>
        <v>0</v>
      </c>
      <c r="K186" s="23" t="n">
        <f aca="false">IFERROR(J186/G186,0)</f>
        <v>0</v>
      </c>
      <c r="L186" s="21" t="str">
        <f aca="false">IF(B186="","",IF(J186=MAX(SUMIFS($J$2:$J$200,$B$2:$B$200,B186,$C$2:$C$200,C186,$D$2:$D$200,"A"),SUMIFS($J$2:$J$200,$B$2:$B$200,B186,$C$2:$C$200,C186,$D$2:$D$200,"B")),"Current Winner",""))</f>
        <v/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" hidden="false" customHeight="false" outlineLevel="0" collapsed="false">
      <c r="A187" s="22"/>
      <c r="B187" s="21"/>
      <c r="C187" s="21"/>
      <c r="D187" s="21"/>
      <c r="E187" s="23"/>
      <c r="F187" s="21"/>
      <c r="G187" s="24"/>
      <c r="H187" s="24"/>
      <c r="I187" s="25" t="n">
        <f aca="false">IFERROR(H187/G187,0)</f>
        <v>0</v>
      </c>
      <c r="J187" s="23" t="n">
        <f aca="false">IFERROR(E187*H187,0)</f>
        <v>0</v>
      </c>
      <c r="K187" s="23" t="n">
        <f aca="false">IFERROR(J187/G187,0)</f>
        <v>0</v>
      </c>
      <c r="L187" s="21" t="str">
        <f aca="false">IF(B187="","",IF(J187=MAX(SUMIFS($J$2:$J$200,$B$2:$B$200,B187,$C$2:$C$200,C187,$D$2:$D$200,"A"),SUMIFS($J$2:$J$200,$B$2:$B$200,B187,$C$2:$C$200,C187,$D$2:$D$200,"B")),"Current Winner",""))</f>
        <v/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" hidden="false" customHeight="false" outlineLevel="0" collapsed="false">
      <c r="A188" s="22"/>
      <c r="B188" s="21"/>
      <c r="C188" s="21"/>
      <c r="D188" s="21"/>
      <c r="E188" s="23"/>
      <c r="F188" s="21"/>
      <c r="G188" s="24"/>
      <c r="H188" s="24"/>
      <c r="I188" s="25" t="n">
        <f aca="false">IFERROR(H188/G188,0)</f>
        <v>0</v>
      </c>
      <c r="J188" s="23" t="n">
        <f aca="false">IFERROR(E188*H188,0)</f>
        <v>0</v>
      </c>
      <c r="K188" s="23" t="n">
        <f aca="false">IFERROR(J188/G188,0)</f>
        <v>0</v>
      </c>
      <c r="L188" s="21" t="str">
        <f aca="false">IF(B188="","",IF(J188=MAX(SUMIFS($J$2:$J$200,$B$2:$B$200,B188,$C$2:$C$200,C188,$D$2:$D$200,"A"),SUMIFS($J$2:$J$200,$B$2:$B$200,B188,$C$2:$C$200,C188,$D$2:$D$200,"B")),"Current Winner",""))</f>
        <v/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" hidden="false" customHeight="false" outlineLevel="0" collapsed="false">
      <c r="A189" s="22"/>
      <c r="B189" s="21"/>
      <c r="C189" s="21"/>
      <c r="D189" s="21"/>
      <c r="E189" s="23"/>
      <c r="F189" s="21"/>
      <c r="G189" s="24"/>
      <c r="H189" s="24"/>
      <c r="I189" s="25" t="n">
        <f aca="false">IFERROR(H189/G189,0)</f>
        <v>0</v>
      </c>
      <c r="J189" s="23" t="n">
        <f aca="false">IFERROR(E189*H189,0)</f>
        <v>0</v>
      </c>
      <c r="K189" s="23" t="n">
        <f aca="false">IFERROR(J189/G189,0)</f>
        <v>0</v>
      </c>
      <c r="L189" s="21" t="str">
        <f aca="false">IF(B189="","",IF(J189=MAX(SUMIFS($J$2:$J$200,$B$2:$B$200,B189,$C$2:$C$200,C189,$D$2:$D$200,"A"),SUMIFS($J$2:$J$200,$B$2:$B$200,B189,$C$2:$C$200,C189,$D$2:$D$200,"B")),"Current Winner",""))</f>
        <v/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" hidden="false" customHeight="false" outlineLevel="0" collapsed="false">
      <c r="A190" s="22"/>
      <c r="B190" s="21"/>
      <c r="C190" s="21"/>
      <c r="D190" s="21"/>
      <c r="E190" s="23"/>
      <c r="F190" s="21"/>
      <c r="G190" s="24"/>
      <c r="H190" s="24"/>
      <c r="I190" s="25" t="n">
        <f aca="false">IFERROR(H190/G190,0)</f>
        <v>0</v>
      </c>
      <c r="J190" s="23" t="n">
        <f aca="false">IFERROR(E190*H190,0)</f>
        <v>0</v>
      </c>
      <c r="K190" s="23" t="n">
        <f aca="false">IFERROR(J190/G190,0)</f>
        <v>0</v>
      </c>
      <c r="L190" s="21" t="str">
        <f aca="false">IF(B190="","",IF(J190=MAX(SUMIFS($J$2:$J$200,$B$2:$B$200,B190,$C$2:$C$200,C190,$D$2:$D$200,"A"),SUMIFS($J$2:$J$200,$B$2:$B$200,B190,$C$2:$C$200,C190,$D$2:$D$200,"B")),"Current Winner",""))</f>
        <v/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" hidden="false" customHeight="false" outlineLevel="0" collapsed="false">
      <c r="A191" s="22"/>
      <c r="B191" s="21"/>
      <c r="C191" s="21"/>
      <c r="D191" s="21"/>
      <c r="E191" s="23"/>
      <c r="F191" s="21"/>
      <c r="G191" s="24"/>
      <c r="H191" s="24"/>
      <c r="I191" s="25" t="n">
        <f aca="false">IFERROR(H191/G191,0)</f>
        <v>0</v>
      </c>
      <c r="J191" s="23" t="n">
        <f aca="false">IFERROR(E191*H191,0)</f>
        <v>0</v>
      </c>
      <c r="K191" s="23" t="n">
        <f aca="false">IFERROR(J191/G191,0)</f>
        <v>0</v>
      </c>
      <c r="L191" s="21" t="str">
        <f aca="false">IF(B191="","",IF(J191=MAX(SUMIFS($J$2:$J$200,$B$2:$B$200,B191,$C$2:$C$200,C191,$D$2:$D$200,"A"),SUMIFS($J$2:$J$200,$B$2:$B$200,B191,$C$2:$C$200,C191,$D$2:$D$200,"B")),"Current Winner",""))</f>
        <v/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" hidden="false" customHeight="false" outlineLevel="0" collapsed="false">
      <c r="A192" s="22"/>
      <c r="B192" s="21"/>
      <c r="C192" s="21"/>
      <c r="D192" s="21"/>
      <c r="E192" s="23"/>
      <c r="F192" s="21"/>
      <c r="G192" s="24"/>
      <c r="H192" s="24"/>
      <c r="I192" s="25" t="n">
        <f aca="false">IFERROR(H192/G192,0)</f>
        <v>0</v>
      </c>
      <c r="J192" s="23" t="n">
        <f aca="false">IFERROR(E192*H192,0)</f>
        <v>0</v>
      </c>
      <c r="K192" s="23" t="n">
        <f aca="false">IFERROR(J192/G192,0)</f>
        <v>0</v>
      </c>
      <c r="L192" s="21" t="str">
        <f aca="false">IF(B192="","",IF(J192=MAX(SUMIFS($J$2:$J$200,$B$2:$B$200,B192,$C$2:$C$200,C192,$D$2:$D$200,"A"),SUMIFS($J$2:$J$200,$B$2:$B$200,B192,$C$2:$C$200,C192,$D$2:$D$200,"B")),"Current Winner",""))</f>
        <v/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" hidden="false" customHeight="false" outlineLevel="0" collapsed="false">
      <c r="A193" s="22"/>
      <c r="B193" s="21"/>
      <c r="C193" s="21"/>
      <c r="D193" s="21"/>
      <c r="E193" s="23"/>
      <c r="F193" s="21"/>
      <c r="G193" s="24"/>
      <c r="H193" s="24"/>
      <c r="I193" s="25" t="n">
        <f aca="false">IFERROR(H193/G193,0)</f>
        <v>0</v>
      </c>
      <c r="J193" s="23" t="n">
        <f aca="false">IFERROR(E193*H193,0)</f>
        <v>0</v>
      </c>
      <c r="K193" s="23" t="n">
        <f aca="false">IFERROR(J193/G193,0)</f>
        <v>0</v>
      </c>
      <c r="L193" s="21" t="str">
        <f aca="false">IF(B193="","",IF(J193=MAX(SUMIFS($J$2:$J$200,$B$2:$B$200,B193,$C$2:$C$200,C193,$D$2:$D$200,"A"),SUMIFS($J$2:$J$200,$B$2:$B$200,B193,$C$2:$C$200,C193,$D$2:$D$200,"B")),"Current Winner",""))</f>
        <v/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" hidden="false" customHeight="false" outlineLevel="0" collapsed="false">
      <c r="A194" s="22"/>
      <c r="B194" s="21"/>
      <c r="C194" s="21"/>
      <c r="D194" s="21"/>
      <c r="E194" s="23"/>
      <c r="F194" s="21"/>
      <c r="G194" s="24"/>
      <c r="H194" s="24"/>
      <c r="I194" s="25" t="n">
        <f aca="false">IFERROR(H194/G194,0)</f>
        <v>0</v>
      </c>
      <c r="J194" s="23" t="n">
        <f aca="false">IFERROR(E194*H194,0)</f>
        <v>0</v>
      </c>
      <c r="K194" s="23" t="n">
        <f aca="false">IFERROR(J194/G194,0)</f>
        <v>0</v>
      </c>
      <c r="L194" s="21" t="str">
        <f aca="false">IF(B194="","",IF(J194=MAX(SUMIFS($J$2:$J$200,$B$2:$B$200,B194,$C$2:$C$200,C194,$D$2:$D$200,"A"),SUMIFS($J$2:$J$200,$B$2:$B$200,B194,$C$2:$C$200,C194,$D$2:$D$200,"B")),"Current Winner",""))</f>
        <v/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" hidden="false" customHeight="false" outlineLevel="0" collapsed="false">
      <c r="A195" s="22"/>
      <c r="B195" s="21"/>
      <c r="C195" s="21"/>
      <c r="D195" s="21"/>
      <c r="E195" s="23"/>
      <c r="F195" s="21"/>
      <c r="G195" s="24"/>
      <c r="H195" s="24"/>
      <c r="I195" s="25" t="n">
        <f aca="false">IFERROR(H195/G195,0)</f>
        <v>0</v>
      </c>
      <c r="J195" s="23" t="n">
        <f aca="false">IFERROR(E195*H195,0)</f>
        <v>0</v>
      </c>
      <c r="K195" s="23" t="n">
        <f aca="false">IFERROR(J195/G195,0)</f>
        <v>0</v>
      </c>
      <c r="L195" s="21" t="str">
        <f aca="false">IF(B195="","",IF(J195=MAX(SUMIFS($J$2:$J$200,$B$2:$B$200,B195,$C$2:$C$200,C195,$D$2:$D$200,"A"),SUMIFS($J$2:$J$200,$B$2:$B$200,B195,$C$2:$C$200,C195,$D$2:$D$200,"B")),"Current Winner",""))</f>
        <v/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" hidden="false" customHeight="false" outlineLevel="0" collapsed="false">
      <c r="A196" s="22"/>
      <c r="B196" s="21"/>
      <c r="C196" s="21"/>
      <c r="D196" s="21"/>
      <c r="E196" s="23"/>
      <c r="F196" s="21"/>
      <c r="G196" s="24"/>
      <c r="H196" s="24"/>
      <c r="I196" s="25" t="n">
        <f aca="false">IFERROR(H196/G196,0)</f>
        <v>0</v>
      </c>
      <c r="J196" s="23" t="n">
        <f aca="false">IFERROR(E196*H196,0)</f>
        <v>0</v>
      </c>
      <c r="K196" s="23" t="n">
        <f aca="false">IFERROR(J196/G196,0)</f>
        <v>0</v>
      </c>
      <c r="L196" s="21" t="str">
        <f aca="false">IF(B196="","",IF(J196=MAX(SUMIFS($J$2:$J$200,$B$2:$B$200,B196,$C$2:$C$200,C196,$D$2:$D$200,"A"),SUMIFS($J$2:$J$200,$B$2:$B$200,B196,$C$2:$C$200,C196,$D$2:$D$200,"B")),"Current Winner",""))</f>
        <v/>
      </c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" hidden="false" customHeight="false" outlineLevel="0" collapsed="false">
      <c r="A197" s="22"/>
      <c r="B197" s="21"/>
      <c r="C197" s="21"/>
      <c r="D197" s="21"/>
      <c r="E197" s="23"/>
      <c r="F197" s="21"/>
      <c r="G197" s="24"/>
      <c r="H197" s="24"/>
      <c r="I197" s="25" t="n">
        <f aca="false">IFERROR(H197/G197,0)</f>
        <v>0</v>
      </c>
      <c r="J197" s="23" t="n">
        <f aca="false">IFERROR(E197*H197,0)</f>
        <v>0</v>
      </c>
      <c r="K197" s="23" t="n">
        <f aca="false">IFERROR(J197/G197,0)</f>
        <v>0</v>
      </c>
      <c r="L197" s="21" t="str">
        <f aca="false">IF(B197="","",IF(J197=MAX(SUMIFS($J$2:$J$200,$B$2:$B$200,B197,$C$2:$C$200,C197,$D$2:$D$200,"A"),SUMIFS($J$2:$J$200,$B$2:$B$200,B197,$C$2:$C$200,C197,$D$2:$D$200,"B")),"Current Winner",""))</f>
        <v/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" hidden="false" customHeight="false" outlineLevel="0" collapsed="false">
      <c r="A198" s="22"/>
      <c r="B198" s="21"/>
      <c r="C198" s="21"/>
      <c r="D198" s="21"/>
      <c r="E198" s="23"/>
      <c r="F198" s="21"/>
      <c r="G198" s="24"/>
      <c r="H198" s="24"/>
      <c r="I198" s="25" t="n">
        <f aca="false">IFERROR(H198/G198,0)</f>
        <v>0</v>
      </c>
      <c r="J198" s="23" t="n">
        <f aca="false">IFERROR(E198*H198,0)</f>
        <v>0</v>
      </c>
      <c r="K198" s="23" t="n">
        <f aca="false">IFERROR(J198/G198,0)</f>
        <v>0</v>
      </c>
      <c r="L198" s="21" t="str">
        <f aca="false">IF(B198="","",IF(J198=MAX(SUMIFS($J$2:$J$200,$B$2:$B$200,B198,$C$2:$C$200,C198,$D$2:$D$200,"A"),SUMIFS($J$2:$J$200,$B$2:$B$200,B198,$C$2:$C$200,C198,$D$2:$D$200,"B")),"Current Winner",""))</f>
        <v/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" hidden="false" customHeight="false" outlineLevel="0" collapsed="false">
      <c r="A199" s="22"/>
      <c r="B199" s="21"/>
      <c r="C199" s="21"/>
      <c r="D199" s="21"/>
      <c r="E199" s="23"/>
      <c r="F199" s="21"/>
      <c r="G199" s="24"/>
      <c r="H199" s="24"/>
      <c r="I199" s="25" t="n">
        <f aca="false">IFERROR(H199/G199,0)</f>
        <v>0</v>
      </c>
      <c r="J199" s="23" t="n">
        <f aca="false">IFERROR(E199*H199,0)</f>
        <v>0</v>
      </c>
      <c r="K199" s="23" t="n">
        <f aca="false">IFERROR(J199/G199,0)</f>
        <v>0</v>
      </c>
      <c r="L199" s="21" t="str">
        <f aca="false">IF(B199="","",IF(J199=MAX(SUMIFS($J$2:$J$200,$B$2:$B$200,B199,$C$2:$C$200,C199,$D$2:$D$200,"A"),SUMIFS($J$2:$J$200,$B$2:$B$200,B199,$C$2:$C$200,C199,$D$2:$D$200,"B")),"Current Winner",""))</f>
        <v/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" hidden="false" customHeight="false" outlineLevel="0" collapsed="false">
      <c r="A200" s="22"/>
      <c r="B200" s="21"/>
      <c r="C200" s="21"/>
      <c r="D200" s="21"/>
      <c r="E200" s="23"/>
      <c r="F200" s="21"/>
      <c r="G200" s="24"/>
      <c r="H200" s="24"/>
      <c r="I200" s="25" t="n">
        <f aca="false">IFERROR(H200/G200,0)</f>
        <v>0</v>
      </c>
      <c r="J200" s="23" t="n">
        <f aca="false">IFERROR(E200*H200,0)</f>
        <v>0</v>
      </c>
      <c r="K200" s="23" t="n">
        <f aca="false">IFERROR(J200/G200,0)</f>
        <v>0</v>
      </c>
      <c r="L200" s="21" t="str">
        <f aca="false">IF(B200="","",IF(J200=MAX(SUMIFS($J$2:$J$200,$B$2:$B$200,B200,$C$2:$C$200,C200,$D$2:$D$200,"A"),SUMIFS($J$2:$J$200,$B$2:$B$200,B200,$C$2:$C$200,C200,$D$2:$D$200,"B")),"Current Winner",""))</f>
        <v/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</sheetData>
  <dataValidations count="2">
    <dataValidation allowBlank="false" errorStyle="stop" operator="between" showDropDown="false" showErrorMessage="false" showInputMessage="false" sqref="D2:D200" type="list">
      <formula1>"A,B,C"</formula1>
      <formula2>0</formula2>
    </dataValidation>
    <dataValidation allowBlank="false" errorStyle="stop" operator="between" showDropDown="false" showErrorMessage="false" showInputMessage="false" sqref="B2:B200" type="list">
      <formula1>"BLE Scanner,Secure Vault"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58:58 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3.65"/>
    <col collapsed="false" customWidth="true" hidden="false" outlineLevel="0" max="2" min="2" style="0" width="11.57"/>
    <col collapsed="false" customWidth="true" hidden="false" outlineLevel="0" max="3" min="3" style="0" width="10.09"/>
    <col collapsed="false" customWidth="true" hidden="false" outlineLevel="0" max="8" min="4" style="0" width="18"/>
  </cols>
  <sheetData>
    <row r="1" customFormat="false" ht="19.7" hidden="false" customHeight="false" outlineLevel="0" collapsed="false">
      <c r="A1" s="26" t="s">
        <v>764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" hidden="false" customHeight="false" outlineLevel="0" collapsed="false">
      <c r="A3" s="27" t="s">
        <v>765</v>
      </c>
      <c r="B3" s="28" t="n">
        <f aca="false">SUM(AB_TEST!G2:G200)</f>
        <v>11100</v>
      </c>
      <c r="C3" s="21"/>
      <c r="D3" s="29" t="s">
        <v>13</v>
      </c>
      <c r="E3" s="29"/>
      <c r="F3" s="29"/>
      <c r="G3" s="29"/>
      <c r="H3" s="2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38" hidden="false" customHeight="false" outlineLevel="0" collapsed="false">
      <c r="A4" s="27" t="s">
        <v>766</v>
      </c>
      <c r="B4" s="28" t="n">
        <f aca="false">SUM(AB_TEST!H2:H200)</f>
        <v>519</v>
      </c>
      <c r="C4" s="21"/>
      <c r="D4" s="30" t="s">
        <v>767</v>
      </c>
      <c r="E4" s="30"/>
      <c r="F4" s="30"/>
      <c r="G4" s="30"/>
      <c r="H4" s="3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38" hidden="false" customHeight="false" outlineLevel="0" collapsed="false">
      <c r="A5" s="27" t="s">
        <v>768</v>
      </c>
      <c r="B5" s="28" t="n">
        <f aca="false">SUM(AB_TEST!J2:J200)</f>
        <v>17327.8</v>
      </c>
      <c r="C5" s="21"/>
      <c r="D5" s="30" t="s">
        <v>769</v>
      </c>
      <c r="E5" s="30"/>
      <c r="F5" s="30"/>
      <c r="G5" s="30"/>
      <c r="H5" s="3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38" hidden="false" customHeight="false" outlineLevel="0" collapsed="false">
      <c r="A6" s="27" t="s">
        <v>770</v>
      </c>
      <c r="B6" s="31" t="n">
        <f aca="false">IFERROR(SUM(AB_TEST!H2:H200)/SUM(AB_TEST!G2:G200),0)</f>
        <v>0.0467567567567568</v>
      </c>
      <c r="C6" s="21"/>
      <c r="D6" s="30" t="s">
        <v>771</v>
      </c>
      <c r="E6" s="30"/>
      <c r="F6" s="30"/>
      <c r="G6" s="30"/>
      <c r="H6" s="3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38" hidden="false" customHeight="false" outlineLevel="0" collapsed="false">
      <c r="A7" s="27" t="s">
        <v>772</v>
      </c>
      <c r="B7" s="32" t="n">
        <f aca="false">IFERROR(SUM(AB_TEST!J2:J200)/SUM(AB_TEST!G2:G200),0)</f>
        <v>1.56106306306306</v>
      </c>
      <c r="C7" s="21"/>
      <c r="D7" s="30" t="s">
        <v>773</v>
      </c>
      <c r="E7" s="30"/>
      <c r="F7" s="30"/>
      <c r="G7" s="30"/>
      <c r="H7" s="3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38" hidden="false" customHeight="false" outlineLevel="0" collapsed="false">
      <c r="A8" s="27" t="s">
        <v>774</v>
      </c>
      <c r="B8" s="33" t="str">
        <f aca="false">INDEX(A13:A14,MATCH(MAX(E13:E14),E13:E14,0))</f>
        <v>B</v>
      </c>
      <c r="C8" s="21"/>
      <c r="D8" s="30" t="s">
        <v>775</v>
      </c>
      <c r="E8" s="30"/>
      <c r="F8" s="30"/>
      <c r="G8" s="30"/>
      <c r="H8" s="30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" hidden="false" customHeight="false" outlineLevel="0" collapsed="false">
      <c r="A10" s="29" t="s">
        <v>776</v>
      </c>
      <c r="B10" s="29"/>
      <c r="C10" s="29"/>
      <c r="D10" s="29"/>
      <c r="E10" s="29"/>
      <c r="F10" s="29"/>
      <c r="G10" s="29"/>
      <c r="H10" s="29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" hidden="false" customHeight="false" outlineLevel="0" collapsed="false">
      <c r="A12" s="20" t="s">
        <v>754</v>
      </c>
      <c r="B12" s="20" t="s">
        <v>756</v>
      </c>
      <c r="C12" s="20" t="s">
        <v>757</v>
      </c>
      <c r="D12" s="20" t="s">
        <v>758</v>
      </c>
      <c r="E12" s="20" t="s">
        <v>759</v>
      </c>
      <c r="F12" s="20" t="s">
        <v>760</v>
      </c>
      <c r="G12" s="20" t="s">
        <v>777</v>
      </c>
      <c r="H12" s="20" t="s">
        <v>778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" hidden="false" customHeight="false" outlineLevel="0" collapsed="false">
      <c r="A13" s="21" t="s">
        <v>22</v>
      </c>
      <c r="B13" s="21" t="n">
        <f aca="false">SUMIFS(AB_TEST!G2:G200,AB_TEST!D2:D200,A13)</f>
        <v>5260</v>
      </c>
      <c r="C13" s="21" t="n">
        <f aca="false">SUMIFS(AB_TEST!H2:H200,AB_TEST!D2:D200,A13)</f>
        <v>196</v>
      </c>
      <c r="D13" s="25" t="n">
        <f aca="false">IFERROR(C13/B13,0)</f>
        <v>0.0372623574144487</v>
      </c>
      <c r="E13" s="23" t="n">
        <f aca="false">SUMIFS(AB_TEST!J2:J200,AB_TEST!D2:D200,A13)</f>
        <v>8282</v>
      </c>
      <c r="F13" s="23" t="n">
        <f aca="false">IFERROR(E13/B13,0)</f>
        <v>1.5745247148289</v>
      </c>
      <c r="G13" s="25" t="n">
        <f aca="false">IFERROR(E13/SUM($E$13:$E$14),0)</f>
        <v>0.477960271932963</v>
      </c>
      <c r="H13" s="21" t="str">
        <f aca="false">IF(E13=MAX($E$13:$E$14),"Winner","")</f>
        <v/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6" hidden="false" customHeight="false" outlineLevel="0" collapsed="false">
      <c r="A14" s="21" t="s">
        <v>26</v>
      </c>
      <c r="B14" s="21" t="n">
        <f aca="false">SUMIFS(AB_TEST!G2:G200,AB_TEST!D2:D200,A14)</f>
        <v>5840</v>
      </c>
      <c r="C14" s="21" t="n">
        <f aca="false">SUMIFS(AB_TEST!H2:H200,AB_TEST!D2:D200,A14)</f>
        <v>323</v>
      </c>
      <c r="D14" s="25" t="n">
        <f aca="false">IFERROR(C14/B14,0)</f>
        <v>0.0553082191780822</v>
      </c>
      <c r="E14" s="23" t="n">
        <f aca="false">SUMIFS(AB_TEST!J2:J200,AB_TEST!D2:D200,A14)</f>
        <v>9045.8</v>
      </c>
      <c r="F14" s="23" t="n">
        <f aca="false">IFERROR(E14/B14,0)</f>
        <v>1.54893835616438</v>
      </c>
      <c r="G14" s="25" t="n">
        <f aca="false">IFERROR(E14/SUM($E$13:$E$14),0)</f>
        <v>0.522039728067037</v>
      </c>
      <c r="H14" s="21" t="str">
        <f aca="false">IF(E14=MAX($E$13:$E$14),"Winner","")</f>
        <v>Winner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" hidden="false" customHeight="false" outlineLevel="0" collapsed="false">
      <c r="A17" s="29" t="s">
        <v>779</v>
      </c>
      <c r="B17" s="29"/>
      <c r="C17" s="29"/>
      <c r="D17" s="29"/>
      <c r="E17" s="29"/>
      <c r="F17" s="29"/>
      <c r="G17" s="29"/>
      <c r="H17" s="29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" hidden="false" customHeight="false" outlineLevel="0" collapsed="false">
      <c r="A19" s="20" t="s">
        <v>753</v>
      </c>
      <c r="B19" s="20" t="s">
        <v>38</v>
      </c>
      <c r="C19" s="20" t="s">
        <v>754</v>
      </c>
      <c r="D19" s="20" t="s">
        <v>756</v>
      </c>
      <c r="E19" s="20" t="s">
        <v>757</v>
      </c>
      <c r="F19" s="20" t="s">
        <v>758</v>
      </c>
      <c r="G19" s="20" t="s">
        <v>759</v>
      </c>
      <c r="H19" s="20" t="s">
        <v>760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" hidden="false" customHeight="false" outlineLevel="0" collapsed="false">
      <c r="A20" s="21" t="s">
        <v>762</v>
      </c>
      <c r="B20" s="21" t="s">
        <v>634</v>
      </c>
      <c r="C20" s="21" t="s">
        <v>22</v>
      </c>
      <c r="D20" s="24" t="n">
        <f aca="false">SUMIFS(AB_TEST!G2:G200,AB_TEST!B2:B200,A20,AB_TEST!C2:C200,B20,AB_TEST!D2:D200,C20)</f>
        <v>1200</v>
      </c>
      <c r="E20" s="24" t="n">
        <f aca="false">SUMIFS(AB_TEST!H2:H200,AB_TEST!B2:B200,A20,AB_TEST!C2:C200,B20,AB_TEST!D2:D200,C20)</f>
        <v>48</v>
      </c>
      <c r="F20" s="25" t="n">
        <f aca="false">IFERROR(E20/D20,0)</f>
        <v>0.04</v>
      </c>
      <c r="G20" s="23" t="n">
        <f aca="false">SUMIFS(AB_TEST!J2:J200,AB_TEST!B2:B200,A20,AB_TEST!C2:C200,B20,AB_TEST!D2:D200,C20)</f>
        <v>1872</v>
      </c>
      <c r="H20" s="23" t="n">
        <f aca="false">IFERROR(G20/D20,0)</f>
        <v>1.56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" hidden="false" customHeight="false" outlineLevel="0" collapsed="false">
      <c r="A21" s="21" t="s">
        <v>762</v>
      </c>
      <c r="B21" s="21" t="s">
        <v>634</v>
      </c>
      <c r="C21" s="21" t="s">
        <v>26</v>
      </c>
      <c r="D21" s="24" t="n">
        <f aca="false">SUMIFS(AB_TEST!G2:G200,AB_TEST!B2:B200,A21,AB_TEST!C2:C200,B21,AB_TEST!D2:D200,C21)</f>
        <v>1350</v>
      </c>
      <c r="E21" s="24" t="n">
        <f aca="false">SUMIFS(AB_TEST!H2:H200,AB_TEST!B2:B200,A21,AB_TEST!C2:C200,B21,AB_TEST!D2:D200,C21)</f>
        <v>78</v>
      </c>
      <c r="F21" s="25" t="n">
        <f aca="false">IFERROR(E21/D21,0)</f>
        <v>0.0577777777777778</v>
      </c>
      <c r="G21" s="23" t="n">
        <f aca="false">SUMIFS(AB_TEST!J2:J200,AB_TEST!B2:B200,A21,AB_TEST!C2:C200,B21,AB_TEST!D2:D200,C21)</f>
        <v>2262</v>
      </c>
      <c r="H21" s="23" t="n">
        <f aca="false">IFERROR(G21/D21,0)</f>
        <v>1.67555555555556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" hidden="false" customHeight="false" outlineLevel="0" collapsed="false">
      <c r="A22" s="21" t="s">
        <v>763</v>
      </c>
      <c r="B22" s="21" t="s">
        <v>634</v>
      </c>
      <c r="C22" s="21" t="s">
        <v>22</v>
      </c>
      <c r="D22" s="24" t="n">
        <f aca="false">SUMIFS(AB_TEST!G2:G200,AB_TEST!B2:B200,A22,AB_TEST!C2:C200,B22,AB_TEST!D2:D200,C22)</f>
        <v>900</v>
      </c>
      <c r="E22" s="24" t="n">
        <f aca="false">SUMIFS(AB_TEST!H2:H200,AB_TEST!B2:B200,A22,AB_TEST!C2:C200,B22,AB_TEST!D2:D200,C22)</f>
        <v>32</v>
      </c>
      <c r="F22" s="25" t="n">
        <f aca="false">IFERROR(E22/D22,0)</f>
        <v>0.0355555555555556</v>
      </c>
      <c r="G22" s="23" t="n">
        <f aca="false">SUMIFS(AB_TEST!J2:J200,AB_TEST!B2:B200,A22,AB_TEST!C2:C200,B22,AB_TEST!D2:D200,C22)</f>
        <v>1568</v>
      </c>
      <c r="H22" s="23" t="n">
        <f aca="false">IFERROR(G22/D22,0)</f>
        <v>1.74222222222222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" hidden="false" customHeight="false" outlineLevel="0" collapsed="false">
      <c r="A23" s="21" t="s">
        <v>763</v>
      </c>
      <c r="B23" s="21" t="s">
        <v>634</v>
      </c>
      <c r="C23" s="21" t="s">
        <v>26</v>
      </c>
      <c r="D23" s="24" t="n">
        <f aca="false">SUMIFS(AB_TEST!G2:G200,AB_TEST!B2:B200,A23,AB_TEST!C2:C200,B23,AB_TEST!D2:D200,C23)</f>
        <v>960</v>
      </c>
      <c r="E23" s="24" t="n">
        <f aca="false">SUMIFS(AB_TEST!H2:H200,AB_TEST!B2:B200,A23,AB_TEST!C2:C200,B23,AB_TEST!D2:D200,C23)</f>
        <v>45</v>
      </c>
      <c r="F23" s="25" t="n">
        <f aca="false">IFERROR(E23/D23,0)</f>
        <v>0.046875</v>
      </c>
      <c r="G23" s="23" t="n">
        <f aca="false">SUMIFS(AB_TEST!J2:J200,AB_TEST!B2:B200,A23,AB_TEST!C2:C200,B23,AB_TEST!D2:D200,C23)</f>
        <v>1755</v>
      </c>
      <c r="H23" s="23" t="n">
        <f aca="false">IFERROR(G23/D23,0)</f>
        <v>1.828125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" hidden="false" customHeight="false" outlineLevel="0" collapsed="false">
      <c r="A24" s="21" t="s">
        <v>762</v>
      </c>
      <c r="B24" s="21" t="s">
        <v>308</v>
      </c>
      <c r="C24" s="21" t="s">
        <v>22</v>
      </c>
      <c r="D24" s="24" t="n">
        <f aca="false">SUMIFS(AB_TEST!G2:G200,AB_TEST!B2:B200,A24,AB_TEST!C2:C200,B24,AB_TEST!D2:D200,C24)</f>
        <v>2400</v>
      </c>
      <c r="E24" s="24" t="n">
        <f aca="false">SUMIFS(AB_TEST!H2:H200,AB_TEST!B2:B200,A24,AB_TEST!C2:C200,B24,AB_TEST!D2:D200,C24)</f>
        <v>96</v>
      </c>
      <c r="F24" s="25" t="n">
        <f aca="false">IFERROR(E24/D24,0)</f>
        <v>0.04</v>
      </c>
      <c r="G24" s="23" t="n">
        <f aca="false">SUMIFS(AB_TEST!J2:J200,AB_TEST!B2:B200,A24,AB_TEST!C2:C200,B24,AB_TEST!D2:D200,C24)</f>
        <v>4704</v>
      </c>
      <c r="H24" s="23" t="n">
        <f aca="false">IFERROR(G24/D24,0)</f>
        <v>1.96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" hidden="false" customHeight="false" outlineLevel="0" collapsed="false">
      <c r="A25" s="21" t="s">
        <v>762</v>
      </c>
      <c r="B25" s="21" t="s">
        <v>308</v>
      </c>
      <c r="C25" s="21" t="s">
        <v>26</v>
      </c>
      <c r="D25" s="24" t="n">
        <f aca="false">SUMIFS(AB_TEST!G2:G200,AB_TEST!B2:B200,A25,AB_TEST!C2:C200,B25,AB_TEST!D2:D200,C25)</f>
        <v>2700</v>
      </c>
      <c r="E25" s="24" t="n">
        <f aca="false">SUMIFS(AB_TEST!H2:H200,AB_TEST!B2:B200,A25,AB_TEST!C2:C200,B25,AB_TEST!D2:D200,C25)</f>
        <v>168</v>
      </c>
      <c r="F25" s="25" t="n">
        <f aca="false">IFERROR(E25/D25,0)</f>
        <v>0.0622222222222222</v>
      </c>
      <c r="G25" s="23" t="n">
        <f aca="false">SUMIFS(AB_TEST!J2:J200,AB_TEST!B2:B200,A25,AB_TEST!C2:C200,B25,AB_TEST!D2:D200,C25)</f>
        <v>4872</v>
      </c>
      <c r="H25" s="23" t="n">
        <f aca="false">IFERROR(G25/D25,0)</f>
        <v>1.80444444444444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" hidden="false" customHeight="false" outlineLevel="0" collapsed="false">
      <c r="A26" s="21" t="s">
        <v>763</v>
      </c>
      <c r="B26" s="21" t="s">
        <v>137</v>
      </c>
      <c r="C26" s="21" t="s">
        <v>22</v>
      </c>
      <c r="D26" s="24" t="n">
        <f aca="false">SUMIFS(AB_TEST!G2:G200,AB_TEST!B2:B200,A26,AB_TEST!C2:C200,B26,AB_TEST!D2:D200,C26)</f>
        <v>760</v>
      </c>
      <c r="E26" s="24" t="n">
        <f aca="false">SUMIFS(AB_TEST!H2:H200,AB_TEST!B2:B200,A26,AB_TEST!C2:C200,B26,AB_TEST!D2:D200,C26)</f>
        <v>20</v>
      </c>
      <c r="F26" s="25" t="n">
        <f aca="false">IFERROR(E26/D26,0)</f>
        <v>0.0263157894736842</v>
      </c>
      <c r="G26" s="23" t="n">
        <f aca="false">SUMIFS(AB_TEST!J2:J200,AB_TEST!B2:B200,A26,AB_TEST!C2:C200,B26,AB_TEST!D2:D200,C26)</f>
        <v>138</v>
      </c>
      <c r="H26" s="23" t="n">
        <f aca="false">IFERROR(G26/D26,0)</f>
        <v>0.181578947368421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" hidden="false" customHeight="false" outlineLevel="0" collapsed="false">
      <c r="A27" s="21" t="s">
        <v>763</v>
      </c>
      <c r="B27" s="21" t="s">
        <v>137</v>
      </c>
      <c r="C27" s="21" t="s">
        <v>26</v>
      </c>
      <c r="D27" s="24" t="n">
        <f aca="false">SUMIFS(AB_TEST!G2:G200,AB_TEST!B2:B200,A27,AB_TEST!C2:C200,B27,AB_TEST!D2:D200,C27)</f>
        <v>830</v>
      </c>
      <c r="E27" s="24" t="n">
        <f aca="false">SUMIFS(AB_TEST!H2:H200,AB_TEST!B2:B200,A27,AB_TEST!C2:C200,B27,AB_TEST!D2:D200,C27)</f>
        <v>32</v>
      </c>
      <c r="F27" s="25" t="n">
        <f aca="false">IFERROR(E27/D27,0)</f>
        <v>0.0385542168674699</v>
      </c>
      <c r="G27" s="23" t="n">
        <f aca="false">SUMIFS(AB_TEST!J2:J200,AB_TEST!B2:B200,A27,AB_TEST!C2:C200,B27,AB_TEST!D2:D200,C27)</f>
        <v>156.8</v>
      </c>
      <c r="H27" s="23" t="n">
        <f aca="false">IFERROR(G27/D27,0)</f>
        <v>0.188915662650602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</sheetData>
  <mergeCells count="3">
    <mergeCell ref="A1:H1"/>
    <mergeCell ref="A10:H10"/>
    <mergeCell ref="A17:H17"/>
  </mergeCells>
  <conditionalFormatting sqref="H13:H14">
    <cfRule type="expression" priority="2" aboveAverage="0" equalAverage="0" bottom="0" percent="0" rank="0" text="" dxfId="20">
      <formula>H13="Winner"</formula>
    </cfRule>
  </conditionalFormatting>
  <conditionalFormatting sqref="D13:D14">
    <cfRule type="dataBar" priority="3">
      <dataBar showValue="1" minLength="10" maxLength="90">
        <cfvo type="min" val="0"/>
        <cfvo type="max" val="0"/>
        <color rgb="FF38BDF8"/>
      </dataBar>
      <extLst>
        <ext xmlns:x14="http://schemas.microsoft.com/office/spreadsheetml/2009/9/main" uri="{B025F937-C7B1-47D3-B67F-A62EFF666E3E}">
          <x14:id>{6EB0FD86-7F22-4C5D-80AD-EBFD8B2E997B}</x14:id>
        </ext>
      </extLst>
    </cfRule>
  </conditionalFormatting>
  <conditionalFormatting sqref="G13:G14">
    <cfRule type="dataBar" priority="4">
      <dataBar showValue="1" minLength="10" maxLength="90">
        <cfvo type="min" val="0"/>
        <cfvo type="max" val="0"/>
        <color rgb="FF22C55E"/>
      </dataBar>
      <extLst>
        <ext xmlns:x14="http://schemas.microsoft.com/office/spreadsheetml/2009/9/main" uri="{B025F937-C7B1-47D3-B67F-A62EFF666E3E}">
          <x14:id>{74D138DC-3FAD-42F2-9226-F5F3D27592D5}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B0FD86-7F22-4C5D-80AD-EBFD8B2E997B}">
            <x14:dataBar minLength="10" maxLength="90" axisPosition="automatic" gradient="true">
              <x14:cfvo type="min"/>
              <x14:cfvo type="max"/>
              <x14:negativeFillColor rgb="FF38BDF8"/>
              <x14:axisColor rgb="FF000000"/>
            </x14:dataBar>
          </x14:cfRule>
          <xm:sqref>D13:D14</xm:sqref>
        </x14:conditionalFormatting>
        <x14:conditionalFormatting xmlns:xm="http://schemas.microsoft.com/office/excel/2006/main">
          <x14:cfRule type="dataBar" id="{74D138DC-3FAD-42F2-9226-F5F3D27592D5}">
            <x14:dataBar minLength="10" maxLength="90" axisPosition="automatic" gradient="true">
              <x14:cfvo type="min"/>
              <x14:cfvo type="max"/>
              <x14:negativeFillColor rgb="FF22C55E"/>
              <x14:axisColor rgb="FF000000"/>
            </x14:dataBar>
          </x14:cfRule>
          <xm:sqref>G13:G14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58:58 A1"/>
    </sheetView>
  </sheetViews>
  <sheetFormatPr defaultColWidth="8.45312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19.7" hidden="false" customHeight="false" outlineLevel="0" collapsed="false">
      <c r="A1" s="26" t="s">
        <v>780</v>
      </c>
      <c r="B1" s="26"/>
      <c r="C1" s="26"/>
      <c r="D1" s="26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" hidden="false" customHeight="false" outlineLevel="0" collapsed="false">
      <c r="A2" s="20" t="s">
        <v>781</v>
      </c>
      <c r="B2" s="20" t="s">
        <v>782</v>
      </c>
      <c r="C2" s="20" t="s">
        <v>783</v>
      </c>
      <c r="D2" s="20" t="s">
        <v>9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" hidden="false" customHeight="false" outlineLevel="0" collapsed="false">
      <c r="A3" s="21" t="s">
        <v>753</v>
      </c>
      <c r="B3" s="21" t="s">
        <v>784</v>
      </c>
      <c r="C3" s="21" t="s">
        <v>762</v>
      </c>
      <c r="D3" s="21" t="s">
        <v>785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" hidden="false" customHeight="false" outlineLevel="0" collapsed="false">
      <c r="A4" s="21" t="s">
        <v>38</v>
      </c>
      <c r="B4" s="21" t="s">
        <v>786</v>
      </c>
      <c r="C4" s="21" t="s">
        <v>634</v>
      </c>
      <c r="D4" s="21" t="s">
        <v>787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" hidden="false" customHeight="false" outlineLevel="0" collapsed="false">
      <c r="A5" s="21" t="s">
        <v>754</v>
      </c>
      <c r="B5" s="21" t="s">
        <v>788</v>
      </c>
      <c r="C5" s="21" t="s">
        <v>789</v>
      </c>
      <c r="D5" s="21" t="s">
        <v>790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" hidden="false" customHeight="false" outlineLevel="0" collapsed="false">
      <c r="A6" s="21" t="s">
        <v>756</v>
      </c>
      <c r="B6" s="21" t="s">
        <v>791</v>
      </c>
      <c r="C6" s="21" t="n">
        <v>1000</v>
      </c>
      <c r="D6" s="21" t="s">
        <v>792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" hidden="false" customHeight="false" outlineLevel="0" collapsed="false">
      <c r="A7" s="21" t="s">
        <v>757</v>
      </c>
      <c r="B7" s="21" t="s">
        <v>793</v>
      </c>
      <c r="C7" s="21" t="n">
        <v>50</v>
      </c>
      <c r="D7" s="21" t="s">
        <v>794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" hidden="false" customHeight="false" outlineLevel="0" collapsed="false">
      <c r="A8" s="21" t="s">
        <v>759</v>
      </c>
      <c r="B8" s="21" t="s">
        <v>795</v>
      </c>
      <c r="C8" s="21"/>
      <c r="D8" s="21" t="s">
        <v>796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" hidden="false" customHeight="false" outlineLevel="0" collapsed="false">
      <c r="A9" s="21" t="s">
        <v>758</v>
      </c>
      <c r="B9" s="21" t="s">
        <v>795</v>
      </c>
      <c r="C9" s="21"/>
      <c r="D9" s="21" t="s">
        <v>797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" hidden="false" customHeight="false" outlineLevel="0" collapsed="false">
      <c r="A10" s="21" t="s">
        <v>798</v>
      </c>
      <c r="B10" s="21" t="s">
        <v>799</v>
      </c>
      <c r="C10" s="21" t="s">
        <v>759</v>
      </c>
      <c r="D10" s="21" t="s">
        <v>800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2026-05-10T01:13:40Z</dcterms:modified>
  <cp:revision>31</cp:revision>
  <dc:subject/>
  <dc:title/>
</cp:coreProperties>
</file>